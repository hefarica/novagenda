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FRC\Downloads\Agenda_Copilot_P95_2026_v1.1_CORREGIDA (1)\agenda-copilot\docs\"/>
    </mc:Choice>
  </mc:AlternateContent>
  <xr:revisionPtr revIDLastSave="0" documentId="13_ncr:1_{C5864C48-9281-4577-85DD-BC15C0CE042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00_HOME" sheetId="1" r:id="rId1"/>
    <sheet name="01_INBOX" sheetId="2" r:id="rId2"/>
    <sheet name="02_AGENDA" sheetId="3" r:id="rId3"/>
    <sheet name="03_RECURRENCIAS" sheetId="4" r:id="rId4"/>
    <sheet name="04_REUNIONES" sheetId="5" r:id="rId5"/>
    <sheet name="05_OKR" sheetId="6" r:id="rId6"/>
    <sheet name="06_METRICAS_DIARIAS" sheetId="7" r:id="rId7"/>
    <sheet name="07_REPORTES" sheetId="8" r:id="rId8"/>
    <sheet name="08_DASHBOARD" sheetId="9" r:id="rId9"/>
    <sheet name="09_MOBILE" sheetId="10" r:id="rId10"/>
    <sheet name="10_AUTOMATIZACION" sheetId="11" r:id="rId11"/>
    <sheet name="11_APPS_SCRIPT" sheetId="12" r:id="rId12"/>
    <sheet name="12_CONFIG" sheetId="13" r:id="rId13"/>
    <sheet name="13_DOCUMENTACION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" i="9" l="1"/>
  <c r="D27" i="9"/>
  <c r="C27" i="9"/>
  <c r="B27" i="9"/>
  <c r="F26" i="9"/>
  <c r="D26" i="9"/>
  <c r="C26" i="9"/>
  <c r="B26" i="9"/>
  <c r="F25" i="9"/>
  <c r="D25" i="9"/>
  <c r="C25" i="9"/>
  <c r="B25" i="9"/>
  <c r="F24" i="9"/>
  <c r="D24" i="9"/>
  <c r="C24" i="9"/>
  <c r="B24" i="9"/>
  <c r="F23" i="9"/>
  <c r="D23" i="9"/>
  <c r="C23" i="9"/>
  <c r="B23" i="9"/>
  <c r="F22" i="9"/>
  <c r="D22" i="9"/>
  <c r="C22" i="9"/>
  <c r="B22" i="9"/>
  <c r="F21" i="9"/>
  <c r="D21" i="9"/>
  <c r="C21" i="9"/>
  <c r="B21" i="9"/>
  <c r="F20" i="9"/>
  <c r="D20" i="9"/>
  <c r="C20" i="9"/>
  <c r="B20" i="9"/>
  <c r="F19" i="9"/>
  <c r="D19" i="9"/>
  <c r="C19" i="9"/>
  <c r="B19" i="9"/>
  <c r="F18" i="9"/>
  <c r="D18" i="9"/>
  <c r="C18" i="9"/>
  <c r="B18" i="9"/>
  <c r="F17" i="9"/>
  <c r="D17" i="9"/>
  <c r="C17" i="9"/>
  <c r="B17" i="9"/>
  <c r="F16" i="9"/>
  <c r="D16" i="9"/>
  <c r="C16" i="9"/>
  <c r="B16" i="9"/>
  <c r="F15" i="9"/>
  <c r="D15" i="9"/>
  <c r="C15" i="9"/>
  <c r="B15" i="9"/>
  <c r="F14" i="9"/>
  <c r="D14" i="9"/>
  <c r="C14" i="9"/>
  <c r="B14" i="9"/>
  <c r="G9" i="9"/>
  <c r="M4" i="9"/>
  <c r="J4" i="9"/>
  <c r="I7" i="1" s="1"/>
  <c r="G4" i="9"/>
  <c r="G7" i="1" s="1"/>
  <c r="D4" i="9"/>
  <c r="D7" i="1" s="1"/>
  <c r="B20" i="8"/>
  <c r="D20" i="8" s="1"/>
  <c r="B17" i="8"/>
  <c r="B16" i="8"/>
  <c r="B9" i="8"/>
  <c r="D9" i="8" s="1"/>
  <c r="B5" i="8"/>
  <c r="G94" i="7"/>
  <c r="F94" i="7"/>
  <c r="E94" i="7"/>
  <c r="C94" i="7"/>
  <c r="B94" i="7"/>
  <c r="G93" i="7"/>
  <c r="F93" i="7"/>
  <c r="E93" i="7"/>
  <c r="C93" i="7"/>
  <c r="B93" i="7"/>
  <c r="G92" i="7"/>
  <c r="F92" i="7"/>
  <c r="E92" i="7"/>
  <c r="C92" i="7"/>
  <c r="B92" i="7"/>
  <c r="G91" i="7"/>
  <c r="F91" i="7"/>
  <c r="E91" i="7"/>
  <c r="C91" i="7"/>
  <c r="B91" i="7"/>
  <c r="G90" i="7"/>
  <c r="F90" i="7"/>
  <c r="E90" i="7"/>
  <c r="C90" i="7"/>
  <c r="B90" i="7"/>
  <c r="G89" i="7"/>
  <c r="F89" i="7"/>
  <c r="E89" i="7"/>
  <c r="C89" i="7"/>
  <c r="B89" i="7"/>
  <c r="G88" i="7"/>
  <c r="F88" i="7"/>
  <c r="E88" i="7"/>
  <c r="C88" i="7"/>
  <c r="B88" i="7"/>
  <c r="G87" i="7"/>
  <c r="F87" i="7"/>
  <c r="E87" i="7"/>
  <c r="C87" i="7"/>
  <c r="B87" i="7"/>
  <c r="G86" i="7"/>
  <c r="F86" i="7"/>
  <c r="E86" i="7"/>
  <c r="C86" i="7"/>
  <c r="B86" i="7"/>
  <c r="G85" i="7"/>
  <c r="F85" i="7"/>
  <c r="E85" i="7"/>
  <c r="C85" i="7"/>
  <c r="B85" i="7"/>
  <c r="G84" i="7"/>
  <c r="F84" i="7"/>
  <c r="E84" i="7"/>
  <c r="C84" i="7"/>
  <c r="B84" i="7"/>
  <c r="G83" i="7"/>
  <c r="F83" i="7"/>
  <c r="E83" i="7"/>
  <c r="C83" i="7"/>
  <c r="B83" i="7"/>
  <c r="G82" i="7"/>
  <c r="F82" i="7"/>
  <c r="E82" i="7"/>
  <c r="C82" i="7"/>
  <c r="B82" i="7"/>
  <c r="G81" i="7"/>
  <c r="F81" i="7"/>
  <c r="E81" i="7"/>
  <c r="C81" i="7"/>
  <c r="B81" i="7"/>
  <c r="G80" i="7"/>
  <c r="F80" i="7"/>
  <c r="E80" i="7"/>
  <c r="C80" i="7"/>
  <c r="B80" i="7"/>
  <c r="G79" i="7"/>
  <c r="F79" i="7"/>
  <c r="E79" i="7"/>
  <c r="C79" i="7"/>
  <c r="B79" i="7"/>
  <c r="G78" i="7"/>
  <c r="F78" i="7"/>
  <c r="E78" i="7"/>
  <c r="C78" i="7"/>
  <c r="B78" i="7"/>
  <c r="G77" i="7"/>
  <c r="F77" i="7"/>
  <c r="E77" i="7"/>
  <c r="C77" i="7"/>
  <c r="B77" i="7"/>
  <c r="G76" i="7"/>
  <c r="F76" i="7"/>
  <c r="E76" i="7"/>
  <c r="C76" i="7"/>
  <c r="B76" i="7"/>
  <c r="G75" i="7"/>
  <c r="F75" i="7"/>
  <c r="E75" i="7"/>
  <c r="C75" i="7"/>
  <c r="B75" i="7"/>
  <c r="G74" i="7"/>
  <c r="F74" i="7"/>
  <c r="E74" i="7"/>
  <c r="C74" i="7"/>
  <c r="B74" i="7"/>
  <c r="G73" i="7"/>
  <c r="F73" i="7"/>
  <c r="E73" i="7"/>
  <c r="C73" i="7"/>
  <c r="B73" i="7"/>
  <c r="G72" i="7"/>
  <c r="F72" i="7"/>
  <c r="E72" i="7"/>
  <c r="C72" i="7"/>
  <c r="B72" i="7"/>
  <c r="G71" i="7"/>
  <c r="F71" i="7"/>
  <c r="E71" i="7"/>
  <c r="C71" i="7"/>
  <c r="B71" i="7"/>
  <c r="G70" i="7"/>
  <c r="F70" i="7"/>
  <c r="E70" i="7"/>
  <c r="C70" i="7"/>
  <c r="B70" i="7"/>
  <c r="G69" i="7"/>
  <c r="F69" i="7"/>
  <c r="E69" i="7"/>
  <c r="C69" i="7"/>
  <c r="B69" i="7"/>
  <c r="G68" i="7"/>
  <c r="F68" i="7"/>
  <c r="E68" i="7"/>
  <c r="C68" i="7"/>
  <c r="B68" i="7"/>
  <c r="G67" i="7"/>
  <c r="F67" i="7"/>
  <c r="E67" i="7"/>
  <c r="C67" i="7"/>
  <c r="B67" i="7"/>
  <c r="G66" i="7"/>
  <c r="F66" i="7"/>
  <c r="E66" i="7"/>
  <c r="C66" i="7"/>
  <c r="B66" i="7"/>
  <c r="G65" i="7"/>
  <c r="F65" i="7"/>
  <c r="E65" i="7"/>
  <c r="C65" i="7"/>
  <c r="B65" i="7"/>
  <c r="G64" i="7"/>
  <c r="F64" i="7"/>
  <c r="E64" i="7"/>
  <c r="C64" i="7"/>
  <c r="B64" i="7"/>
  <c r="G63" i="7"/>
  <c r="F63" i="7"/>
  <c r="E63" i="7"/>
  <c r="C63" i="7"/>
  <c r="B63" i="7"/>
  <c r="G62" i="7"/>
  <c r="F62" i="7"/>
  <c r="E62" i="7"/>
  <c r="C62" i="7"/>
  <c r="B62" i="7"/>
  <c r="G61" i="7"/>
  <c r="F61" i="7"/>
  <c r="E61" i="7"/>
  <c r="C61" i="7"/>
  <c r="B61" i="7"/>
  <c r="G60" i="7"/>
  <c r="F60" i="7"/>
  <c r="E60" i="7"/>
  <c r="C60" i="7"/>
  <c r="B60" i="7"/>
  <c r="G59" i="7"/>
  <c r="F59" i="7"/>
  <c r="E59" i="7"/>
  <c r="C59" i="7"/>
  <c r="B59" i="7"/>
  <c r="G58" i="7"/>
  <c r="F58" i="7"/>
  <c r="E58" i="7"/>
  <c r="C58" i="7"/>
  <c r="B58" i="7"/>
  <c r="G57" i="7"/>
  <c r="F57" i="7"/>
  <c r="E57" i="7"/>
  <c r="C57" i="7"/>
  <c r="B57" i="7"/>
  <c r="G56" i="7"/>
  <c r="F56" i="7"/>
  <c r="E56" i="7"/>
  <c r="C56" i="7"/>
  <c r="B56" i="7"/>
  <c r="G55" i="7"/>
  <c r="F55" i="7"/>
  <c r="E55" i="7"/>
  <c r="C55" i="7"/>
  <c r="B55" i="7"/>
  <c r="G54" i="7"/>
  <c r="F54" i="7"/>
  <c r="E54" i="7"/>
  <c r="C54" i="7"/>
  <c r="B54" i="7"/>
  <c r="G53" i="7"/>
  <c r="F53" i="7"/>
  <c r="E53" i="7"/>
  <c r="C53" i="7"/>
  <c r="B53" i="7"/>
  <c r="G52" i="7"/>
  <c r="F52" i="7"/>
  <c r="E52" i="7"/>
  <c r="C52" i="7"/>
  <c r="B52" i="7"/>
  <c r="G51" i="7"/>
  <c r="F51" i="7"/>
  <c r="E51" i="7"/>
  <c r="C51" i="7"/>
  <c r="B51" i="7"/>
  <c r="G50" i="7"/>
  <c r="F50" i="7"/>
  <c r="E50" i="7"/>
  <c r="C50" i="7"/>
  <c r="B50" i="7"/>
  <c r="G49" i="7"/>
  <c r="F49" i="7"/>
  <c r="E49" i="7"/>
  <c r="C49" i="7"/>
  <c r="B49" i="7"/>
  <c r="G48" i="7"/>
  <c r="F48" i="7"/>
  <c r="E48" i="7"/>
  <c r="C48" i="7"/>
  <c r="B48" i="7"/>
  <c r="G47" i="7"/>
  <c r="F47" i="7"/>
  <c r="E47" i="7"/>
  <c r="C47" i="7"/>
  <c r="B47" i="7"/>
  <c r="G46" i="7"/>
  <c r="E46" i="7"/>
  <c r="C46" i="7"/>
  <c r="B46" i="7"/>
  <c r="G45" i="7"/>
  <c r="F45" i="7"/>
  <c r="E45" i="7"/>
  <c r="C45" i="7"/>
  <c r="B45" i="7"/>
  <c r="G44" i="7"/>
  <c r="F44" i="7"/>
  <c r="E44" i="7"/>
  <c r="C44" i="7"/>
  <c r="B44" i="7"/>
  <c r="G43" i="7"/>
  <c r="F43" i="7"/>
  <c r="E43" i="7"/>
  <c r="C43" i="7"/>
  <c r="B43" i="7"/>
  <c r="G42" i="7"/>
  <c r="F42" i="7"/>
  <c r="E42" i="7"/>
  <c r="C42" i="7"/>
  <c r="B42" i="7"/>
  <c r="G41" i="7"/>
  <c r="F41" i="7"/>
  <c r="E41" i="7"/>
  <c r="C41" i="7"/>
  <c r="B41" i="7"/>
  <c r="G40" i="7"/>
  <c r="F40" i="7"/>
  <c r="E40" i="7"/>
  <c r="C40" i="7"/>
  <c r="B40" i="7"/>
  <c r="G39" i="7"/>
  <c r="F39" i="7"/>
  <c r="E39" i="7"/>
  <c r="C39" i="7"/>
  <c r="B39" i="7"/>
  <c r="G38" i="7"/>
  <c r="F38" i="7"/>
  <c r="E38" i="7"/>
  <c r="C38" i="7"/>
  <c r="B38" i="7"/>
  <c r="G37" i="7"/>
  <c r="F37" i="7"/>
  <c r="E37" i="7"/>
  <c r="C37" i="7"/>
  <c r="B37" i="7"/>
  <c r="G36" i="7"/>
  <c r="F36" i="7"/>
  <c r="E36" i="7"/>
  <c r="C36" i="7"/>
  <c r="B36" i="7"/>
  <c r="G35" i="7"/>
  <c r="F35" i="7"/>
  <c r="E35" i="7"/>
  <c r="C35" i="7"/>
  <c r="B35" i="7"/>
  <c r="G34" i="7"/>
  <c r="E34" i="7"/>
  <c r="C34" i="7"/>
  <c r="G33" i="7"/>
  <c r="F33" i="7"/>
  <c r="E33" i="7"/>
  <c r="C33" i="7"/>
  <c r="B33" i="7"/>
  <c r="G32" i="7"/>
  <c r="F32" i="7"/>
  <c r="E32" i="7"/>
  <c r="C32" i="7"/>
  <c r="B32" i="7"/>
  <c r="G31" i="7"/>
  <c r="F31" i="7"/>
  <c r="E31" i="7"/>
  <c r="C31" i="7"/>
  <c r="B31" i="7"/>
  <c r="G30" i="7"/>
  <c r="F30" i="7"/>
  <c r="E30" i="7"/>
  <c r="C30" i="7"/>
  <c r="B30" i="7"/>
  <c r="G29" i="7"/>
  <c r="F29" i="7"/>
  <c r="E29" i="7"/>
  <c r="C29" i="7"/>
  <c r="B29" i="7"/>
  <c r="G28" i="7"/>
  <c r="F28" i="7"/>
  <c r="E28" i="7"/>
  <c r="C28" i="7"/>
  <c r="B28" i="7"/>
  <c r="G27" i="7"/>
  <c r="F27" i="7"/>
  <c r="E27" i="7"/>
  <c r="C27" i="7"/>
  <c r="B27" i="7"/>
  <c r="G26" i="7"/>
  <c r="F26" i="7"/>
  <c r="E26" i="7"/>
  <c r="C26" i="7"/>
  <c r="B26" i="7"/>
  <c r="G25" i="7"/>
  <c r="F25" i="7"/>
  <c r="E25" i="7"/>
  <c r="C25" i="7"/>
  <c r="B25" i="7"/>
  <c r="G24" i="7"/>
  <c r="F24" i="7"/>
  <c r="E24" i="7"/>
  <c r="C24" i="7"/>
  <c r="B24" i="7"/>
  <c r="G23" i="7"/>
  <c r="F23" i="7"/>
  <c r="E23" i="7"/>
  <c r="C23" i="7"/>
  <c r="B23" i="7"/>
  <c r="G22" i="7"/>
  <c r="F22" i="7"/>
  <c r="E22" i="7"/>
  <c r="C22" i="7"/>
  <c r="B22" i="7"/>
  <c r="G21" i="7"/>
  <c r="F21" i="7"/>
  <c r="E21" i="7"/>
  <c r="C21" i="7"/>
  <c r="B21" i="7"/>
  <c r="G20" i="7"/>
  <c r="F20" i="7"/>
  <c r="E20" i="7"/>
  <c r="C20" i="7"/>
  <c r="B20" i="7"/>
  <c r="G19" i="7"/>
  <c r="F19" i="7"/>
  <c r="E19" i="7"/>
  <c r="C19" i="7"/>
  <c r="B19" i="7"/>
  <c r="G18" i="7"/>
  <c r="F18" i="7"/>
  <c r="E18" i="7"/>
  <c r="C18" i="7"/>
  <c r="B18" i="7"/>
  <c r="G17" i="7"/>
  <c r="F17" i="7"/>
  <c r="E17" i="7"/>
  <c r="C17" i="7"/>
  <c r="B17" i="7"/>
  <c r="G16" i="7"/>
  <c r="F16" i="7"/>
  <c r="E16" i="7"/>
  <c r="C16" i="7"/>
  <c r="B16" i="7"/>
  <c r="G15" i="7"/>
  <c r="F15" i="7"/>
  <c r="E15" i="7"/>
  <c r="C15" i="7"/>
  <c r="B15" i="7"/>
  <c r="G14" i="7"/>
  <c r="F14" i="7"/>
  <c r="E14" i="7"/>
  <c r="C14" i="7"/>
  <c r="B14" i="7"/>
  <c r="G13" i="7"/>
  <c r="F13" i="7"/>
  <c r="E13" i="7"/>
  <c r="C13" i="7"/>
  <c r="B13" i="7"/>
  <c r="G12" i="7"/>
  <c r="F12" i="7"/>
  <c r="E12" i="7"/>
  <c r="C12" i="7"/>
  <c r="B12" i="7"/>
  <c r="G11" i="7"/>
  <c r="F11" i="7"/>
  <c r="E11" i="7"/>
  <c r="C11" i="7"/>
  <c r="B11" i="7"/>
  <c r="G10" i="7"/>
  <c r="F10" i="7"/>
  <c r="E10" i="7"/>
  <c r="C10" i="7"/>
  <c r="B10" i="7"/>
  <c r="G9" i="7"/>
  <c r="F9" i="7"/>
  <c r="E9" i="7"/>
  <c r="C9" i="7"/>
  <c r="B9" i="7"/>
  <c r="G8" i="7"/>
  <c r="F8" i="7"/>
  <c r="E8" i="7"/>
  <c r="C8" i="7"/>
  <c r="B8" i="7"/>
  <c r="G7" i="7"/>
  <c r="F7" i="7"/>
  <c r="E7" i="7"/>
  <c r="C7" i="7"/>
  <c r="B7" i="7"/>
  <c r="G6" i="7"/>
  <c r="F6" i="7"/>
  <c r="E6" i="7"/>
  <c r="C6" i="7"/>
  <c r="B6" i="7"/>
  <c r="G5" i="7"/>
  <c r="F5" i="7"/>
  <c r="E5" i="7"/>
  <c r="C5" i="7"/>
  <c r="B5" i="7"/>
  <c r="G4" i="7"/>
  <c r="F4" i="7"/>
  <c r="E4" i="7"/>
  <c r="C4" i="7"/>
  <c r="B4" i="7"/>
  <c r="J300" i="6"/>
  <c r="J299" i="6"/>
  <c r="J298" i="6"/>
  <c r="J297" i="6"/>
  <c r="J296" i="6"/>
  <c r="J295" i="6"/>
  <c r="J294" i="6"/>
  <c r="J293" i="6"/>
  <c r="J292" i="6"/>
  <c r="J291" i="6"/>
  <c r="J290" i="6"/>
  <c r="J289" i="6"/>
  <c r="J288" i="6"/>
  <c r="J287" i="6"/>
  <c r="J286" i="6"/>
  <c r="J285" i="6"/>
  <c r="J284" i="6"/>
  <c r="J283" i="6"/>
  <c r="J282" i="6"/>
  <c r="J281" i="6"/>
  <c r="J280" i="6"/>
  <c r="J279" i="6"/>
  <c r="J278" i="6"/>
  <c r="J277" i="6"/>
  <c r="J276" i="6"/>
  <c r="J275" i="6"/>
  <c r="J274" i="6"/>
  <c r="J273" i="6"/>
  <c r="J272" i="6"/>
  <c r="J271" i="6"/>
  <c r="J270" i="6"/>
  <c r="J269" i="6"/>
  <c r="J268" i="6"/>
  <c r="J267" i="6"/>
  <c r="J266" i="6"/>
  <c r="J265" i="6"/>
  <c r="J264" i="6"/>
  <c r="J263" i="6"/>
  <c r="J262" i="6"/>
  <c r="J261" i="6"/>
  <c r="J260" i="6"/>
  <c r="J259" i="6"/>
  <c r="J258" i="6"/>
  <c r="J257" i="6"/>
  <c r="J256" i="6"/>
  <c r="J255" i="6"/>
  <c r="J254" i="6"/>
  <c r="J253" i="6"/>
  <c r="J252" i="6"/>
  <c r="J251" i="6"/>
  <c r="J250" i="6"/>
  <c r="J249" i="6"/>
  <c r="J248" i="6"/>
  <c r="J247" i="6"/>
  <c r="J246" i="6"/>
  <c r="J245" i="6"/>
  <c r="J244" i="6"/>
  <c r="J243" i="6"/>
  <c r="J242" i="6"/>
  <c r="J241" i="6"/>
  <c r="J240" i="6"/>
  <c r="J239" i="6"/>
  <c r="J238" i="6"/>
  <c r="J237" i="6"/>
  <c r="J236" i="6"/>
  <c r="J235" i="6"/>
  <c r="J234" i="6"/>
  <c r="J233" i="6"/>
  <c r="J232" i="6"/>
  <c r="J231" i="6"/>
  <c r="J230" i="6"/>
  <c r="J229" i="6"/>
  <c r="J228" i="6"/>
  <c r="J227" i="6"/>
  <c r="J226" i="6"/>
  <c r="J225" i="6"/>
  <c r="J224" i="6"/>
  <c r="J223" i="6"/>
  <c r="J222" i="6"/>
  <c r="J221" i="6"/>
  <c r="J220" i="6"/>
  <c r="J219" i="6"/>
  <c r="J218" i="6"/>
  <c r="J217" i="6"/>
  <c r="J216" i="6"/>
  <c r="J215" i="6"/>
  <c r="J214" i="6"/>
  <c r="J213" i="6"/>
  <c r="J212" i="6"/>
  <c r="J211" i="6"/>
  <c r="J210" i="6"/>
  <c r="J209" i="6"/>
  <c r="J208" i="6"/>
  <c r="J207" i="6"/>
  <c r="J206" i="6"/>
  <c r="J205" i="6"/>
  <c r="J204" i="6"/>
  <c r="J203" i="6"/>
  <c r="J202" i="6"/>
  <c r="J201" i="6"/>
  <c r="J200" i="6"/>
  <c r="J199" i="6"/>
  <c r="J198" i="6"/>
  <c r="J197" i="6"/>
  <c r="J196" i="6"/>
  <c r="J195" i="6"/>
  <c r="J194" i="6"/>
  <c r="J193" i="6"/>
  <c r="J192" i="6"/>
  <c r="J191" i="6"/>
  <c r="J190" i="6"/>
  <c r="J189" i="6"/>
  <c r="J188" i="6"/>
  <c r="J187" i="6"/>
  <c r="J186" i="6"/>
  <c r="J185" i="6"/>
  <c r="J184" i="6"/>
  <c r="J183" i="6"/>
  <c r="J182" i="6"/>
  <c r="J181" i="6"/>
  <c r="J180" i="6"/>
  <c r="J179" i="6"/>
  <c r="J178" i="6"/>
  <c r="J177" i="6"/>
  <c r="J176" i="6"/>
  <c r="J175" i="6"/>
  <c r="J174" i="6"/>
  <c r="J173" i="6"/>
  <c r="J172" i="6"/>
  <c r="J171" i="6"/>
  <c r="J170" i="6"/>
  <c r="J169" i="6"/>
  <c r="J168" i="6"/>
  <c r="J167" i="6"/>
  <c r="J166" i="6"/>
  <c r="J165" i="6"/>
  <c r="J164" i="6"/>
  <c r="J163" i="6"/>
  <c r="J162" i="6"/>
  <c r="J161" i="6"/>
  <c r="J160" i="6"/>
  <c r="J159" i="6"/>
  <c r="J158" i="6"/>
  <c r="J157" i="6"/>
  <c r="J156" i="6"/>
  <c r="J155" i="6"/>
  <c r="J154" i="6"/>
  <c r="J153" i="6"/>
  <c r="J152" i="6"/>
  <c r="J151" i="6"/>
  <c r="J150" i="6"/>
  <c r="J149" i="6"/>
  <c r="J148" i="6"/>
  <c r="J147" i="6"/>
  <c r="J146" i="6"/>
  <c r="J145" i="6"/>
  <c r="J144" i="6"/>
  <c r="J143" i="6"/>
  <c r="J142" i="6"/>
  <c r="J141" i="6"/>
  <c r="J140" i="6"/>
  <c r="J139" i="6"/>
  <c r="J138" i="6"/>
  <c r="J137" i="6"/>
  <c r="J136" i="6"/>
  <c r="J135" i="6"/>
  <c r="J134" i="6"/>
  <c r="J133" i="6"/>
  <c r="J132" i="6"/>
  <c r="J131" i="6"/>
  <c r="J130" i="6"/>
  <c r="J129" i="6"/>
  <c r="J128" i="6"/>
  <c r="J127" i="6"/>
  <c r="J126" i="6"/>
  <c r="J125" i="6"/>
  <c r="J124" i="6"/>
  <c r="J123" i="6"/>
  <c r="J122" i="6"/>
  <c r="J121" i="6"/>
  <c r="J120" i="6"/>
  <c r="J119" i="6"/>
  <c r="J118" i="6"/>
  <c r="J117" i="6"/>
  <c r="J116" i="6"/>
  <c r="J115" i="6"/>
  <c r="J114" i="6"/>
  <c r="J113" i="6"/>
  <c r="J112" i="6"/>
  <c r="J111" i="6"/>
  <c r="J110" i="6"/>
  <c r="J109" i="6"/>
  <c r="J108" i="6"/>
  <c r="J107" i="6"/>
  <c r="J106" i="6"/>
  <c r="J105" i="6"/>
  <c r="J104" i="6"/>
  <c r="J103" i="6"/>
  <c r="J102" i="6"/>
  <c r="J101" i="6"/>
  <c r="J100" i="6"/>
  <c r="J99" i="6"/>
  <c r="J98" i="6"/>
  <c r="J97" i="6"/>
  <c r="J96" i="6"/>
  <c r="J95" i="6"/>
  <c r="J94" i="6"/>
  <c r="J93" i="6"/>
  <c r="J92" i="6"/>
  <c r="J91" i="6"/>
  <c r="J90" i="6"/>
  <c r="J89" i="6"/>
  <c r="J88" i="6"/>
  <c r="J87" i="6"/>
  <c r="J86" i="6"/>
  <c r="J85" i="6"/>
  <c r="J84" i="6"/>
  <c r="J83" i="6"/>
  <c r="J82" i="6"/>
  <c r="J81" i="6"/>
  <c r="J80" i="6"/>
  <c r="J79" i="6"/>
  <c r="J78" i="6"/>
  <c r="J77" i="6"/>
  <c r="J76" i="6"/>
  <c r="J75" i="6"/>
  <c r="J74" i="6"/>
  <c r="J73" i="6"/>
  <c r="J72" i="6"/>
  <c r="J71" i="6"/>
  <c r="J70" i="6"/>
  <c r="J69" i="6"/>
  <c r="J68" i="6"/>
  <c r="J67" i="6"/>
  <c r="J66" i="6"/>
  <c r="J65" i="6"/>
  <c r="J64" i="6"/>
  <c r="J63" i="6"/>
  <c r="J62" i="6"/>
  <c r="J61" i="6"/>
  <c r="J60" i="6"/>
  <c r="J59" i="6"/>
  <c r="J58" i="6"/>
  <c r="J57" i="6"/>
  <c r="J56" i="6"/>
  <c r="J55" i="6"/>
  <c r="J54" i="6"/>
  <c r="J53" i="6"/>
  <c r="J52" i="6"/>
  <c r="J51" i="6"/>
  <c r="J50" i="6"/>
  <c r="J49" i="6"/>
  <c r="J48" i="6"/>
  <c r="J47" i="6"/>
  <c r="J46" i="6"/>
  <c r="J45" i="6"/>
  <c r="J44" i="6"/>
  <c r="J43" i="6"/>
  <c r="J42" i="6"/>
  <c r="J41" i="6"/>
  <c r="J40" i="6"/>
  <c r="J39" i="6"/>
  <c r="J38" i="6"/>
  <c r="J37" i="6"/>
  <c r="J36" i="6"/>
  <c r="J35" i="6"/>
  <c r="J34" i="6"/>
  <c r="J33" i="6"/>
  <c r="J32" i="6"/>
  <c r="J31" i="6"/>
  <c r="J30" i="6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J7" i="6"/>
  <c r="J6" i="6"/>
  <c r="J5" i="6"/>
  <c r="J4" i="6"/>
  <c r="Y500" i="3"/>
  <c r="W500" i="3"/>
  <c r="Y499" i="3"/>
  <c r="W499" i="3"/>
  <c r="Y498" i="3"/>
  <c r="W498" i="3"/>
  <c r="Y497" i="3"/>
  <c r="W497" i="3"/>
  <c r="Y496" i="3"/>
  <c r="W496" i="3"/>
  <c r="Y495" i="3"/>
  <c r="W495" i="3"/>
  <c r="Y494" i="3"/>
  <c r="W494" i="3"/>
  <c r="Y493" i="3"/>
  <c r="W493" i="3"/>
  <c r="Y492" i="3"/>
  <c r="W492" i="3"/>
  <c r="Y491" i="3"/>
  <c r="W491" i="3"/>
  <c r="Y490" i="3"/>
  <c r="W490" i="3"/>
  <c r="Y489" i="3"/>
  <c r="W489" i="3"/>
  <c r="Y488" i="3"/>
  <c r="W488" i="3"/>
  <c r="Y487" i="3"/>
  <c r="W487" i="3"/>
  <c r="Y486" i="3"/>
  <c r="W486" i="3"/>
  <c r="Y485" i="3"/>
  <c r="W485" i="3"/>
  <c r="Y484" i="3"/>
  <c r="W484" i="3"/>
  <c r="Y483" i="3"/>
  <c r="W483" i="3"/>
  <c r="Y482" i="3"/>
  <c r="W482" i="3"/>
  <c r="Y481" i="3"/>
  <c r="W481" i="3"/>
  <c r="Y480" i="3"/>
  <c r="W480" i="3"/>
  <c r="Y479" i="3"/>
  <c r="W479" i="3"/>
  <c r="Y478" i="3"/>
  <c r="W478" i="3"/>
  <c r="Y477" i="3"/>
  <c r="W477" i="3"/>
  <c r="Y476" i="3"/>
  <c r="W476" i="3"/>
  <c r="Y475" i="3"/>
  <c r="W475" i="3"/>
  <c r="Y474" i="3"/>
  <c r="W474" i="3"/>
  <c r="Y473" i="3"/>
  <c r="W473" i="3"/>
  <c r="Y472" i="3"/>
  <c r="W472" i="3"/>
  <c r="Y471" i="3"/>
  <c r="W471" i="3"/>
  <c r="Y470" i="3"/>
  <c r="W470" i="3"/>
  <c r="Y469" i="3"/>
  <c r="W469" i="3"/>
  <c r="Y468" i="3"/>
  <c r="W468" i="3"/>
  <c r="Y467" i="3"/>
  <c r="W467" i="3"/>
  <c r="Y466" i="3"/>
  <c r="W466" i="3"/>
  <c r="Y465" i="3"/>
  <c r="W465" i="3"/>
  <c r="Y464" i="3"/>
  <c r="W464" i="3"/>
  <c r="Y463" i="3"/>
  <c r="W463" i="3"/>
  <c r="Y462" i="3"/>
  <c r="W462" i="3"/>
  <c r="Y461" i="3"/>
  <c r="W461" i="3"/>
  <c r="Y460" i="3"/>
  <c r="W460" i="3"/>
  <c r="Y459" i="3"/>
  <c r="W459" i="3"/>
  <c r="Y458" i="3"/>
  <c r="W458" i="3"/>
  <c r="Y457" i="3"/>
  <c r="W457" i="3"/>
  <c r="Y456" i="3"/>
  <c r="W456" i="3"/>
  <c r="Y455" i="3"/>
  <c r="W455" i="3"/>
  <c r="Y454" i="3"/>
  <c r="W454" i="3"/>
  <c r="Y453" i="3"/>
  <c r="W453" i="3"/>
  <c r="Y452" i="3"/>
  <c r="W452" i="3"/>
  <c r="Y451" i="3"/>
  <c r="W451" i="3"/>
  <c r="Y450" i="3"/>
  <c r="W450" i="3"/>
  <c r="Y449" i="3"/>
  <c r="W449" i="3"/>
  <c r="Y448" i="3"/>
  <c r="W448" i="3"/>
  <c r="Y447" i="3"/>
  <c r="W447" i="3"/>
  <c r="Y446" i="3"/>
  <c r="W446" i="3"/>
  <c r="Y445" i="3"/>
  <c r="W445" i="3"/>
  <c r="Y444" i="3"/>
  <c r="W444" i="3"/>
  <c r="Y443" i="3"/>
  <c r="W443" i="3"/>
  <c r="Y442" i="3"/>
  <c r="W442" i="3"/>
  <c r="Y441" i="3"/>
  <c r="W441" i="3"/>
  <c r="Y440" i="3"/>
  <c r="W440" i="3"/>
  <c r="Y439" i="3"/>
  <c r="W439" i="3"/>
  <c r="Y438" i="3"/>
  <c r="W438" i="3"/>
  <c r="Y437" i="3"/>
  <c r="W437" i="3"/>
  <c r="Y436" i="3"/>
  <c r="W436" i="3"/>
  <c r="Y435" i="3"/>
  <c r="W435" i="3"/>
  <c r="Y434" i="3"/>
  <c r="W434" i="3"/>
  <c r="Y433" i="3"/>
  <c r="W433" i="3"/>
  <c r="Y432" i="3"/>
  <c r="W432" i="3"/>
  <c r="Y431" i="3"/>
  <c r="W431" i="3"/>
  <c r="Y430" i="3"/>
  <c r="W430" i="3"/>
  <c r="Y429" i="3"/>
  <c r="W429" i="3"/>
  <c r="Y428" i="3"/>
  <c r="W428" i="3"/>
  <c r="Y427" i="3"/>
  <c r="W427" i="3"/>
  <c r="Y426" i="3"/>
  <c r="W426" i="3"/>
  <c r="Y425" i="3"/>
  <c r="W425" i="3"/>
  <c r="Y424" i="3"/>
  <c r="W424" i="3"/>
  <c r="Y423" i="3"/>
  <c r="W423" i="3"/>
  <c r="Y422" i="3"/>
  <c r="W422" i="3"/>
  <c r="Y421" i="3"/>
  <c r="W421" i="3"/>
  <c r="Y420" i="3"/>
  <c r="W420" i="3"/>
  <c r="Y419" i="3"/>
  <c r="W419" i="3"/>
  <c r="Y418" i="3"/>
  <c r="W418" i="3"/>
  <c r="Y417" i="3"/>
  <c r="W417" i="3"/>
  <c r="Y416" i="3"/>
  <c r="W416" i="3"/>
  <c r="Y415" i="3"/>
  <c r="W415" i="3"/>
  <c r="Y414" i="3"/>
  <c r="W414" i="3"/>
  <c r="Y413" i="3"/>
  <c r="W413" i="3"/>
  <c r="Y412" i="3"/>
  <c r="W412" i="3"/>
  <c r="Y411" i="3"/>
  <c r="W411" i="3"/>
  <c r="Y410" i="3"/>
  <c r="W410" i="3"/>
  <c r="Y409" i="3"/>
  <c r="W409" i="3"/>
  <c r="Y408" i="3"/>
  <c r="W408" i="3"/>
  <c r="Y407" i="3"/>
  <c r="W407" i="3"/>
  <c r="Y406" i="3"/>
  <c r="W406" i="3"/>
  <c r="Y405" i="3"/>
  <c r="W405" i="3"/>
  <c r="Y404" i="3"/>
  <c r="W404" i="3"/>
  <c r="Y403" i="3"/>
  <c r="W403" i="3"/>
  <c r="Y402" i="3"/>
  <c r="W402" i="3"/>
  <c r="Y401" i="3"/>
  <c r="W401" i="3"/>
  <c r="Y400" i="3"/>
  <c r="W400" i="3"/>
  <c r="Y399" i="3"/>
  <c r="W399" i="3"/>
  <c r="Y398" i="3"/>
  <c r="W398" i="3"/>
  <c r="Y397" i="3"/>
  <c r="W397" i="3"/>
  <c r="Y396" i="3"/>
  <c r="W396" i="3"/>
  <c r="Y395" i="3"/>
  <c r="W395" i="3"/>
  <c r="Y394" i="3"/>
  <c r="W394" i="3"/>
  <c r="Y393" i="3"/>
  <c r="W393" i="3"/>
  <c r="Y392" i="3"/>
  <c r="W392" i="3"/>
  <c r="Y391" i="3"/>
  <c r="W391" i="3"/>
  <c r="Y390" i="3"/>
  <c r="W390" i="3"/>
  <c r="Y389" i="3"/>
  <c r="W389" i="3"/>
  <c r="Y388" i="3"/>
  <c r="W388" i="3"/>
  <c r="Y387" i="3"/>
  <c r="W387" i="3"/>
  <c r="Y386" i="3"/>
  <c r="W386" i="3"/>
  <c r="Y385" i="3"/>
  <c r="W385" i="3"/>
  <c r="Y384" i="3"/>
  <c r="W384" i="3"/>
  <c r="Y383" i="3"/>
  <c r="W383" i="3"/>
  <c r="Y382" i="3"/>
  <c r="W382" i="3"/>
  <c r="Y381" i="3"/>
  <c r="W381" i="3"/>
  <c r="Y380" i="3"/>
  <c r="W380" i="3"/>
  <c r="Y379" i="3"/>
  <c r="W379" i="3"/>
  <c r="Y378" i="3"/>
  <c r="W378" i="3"/>
  <c r="Y377" i="3"/>
  <c r="W377" i="3"/>
  <c r="Y376" i="3"/>
  <c r="W376" i="3"/>
  <c r="Y375" i="3"/>
  <c r="W375" i="3"/>
  <c r="Y374" i="3"/>
  <c r="W374" i="3"/>
  <c r="Y373" i="3"/>
  <c r="W373" i="3"/>
  <c r="Y372" i="3"/>
  <c r="W372" i="3"/>
  <c r="Y371" i="3"/>
  <c r="W371" i="3"/>
  <c r="Y370" i="3"/>
  <c r="W370" i="3"/>
  <c r="Y369" i="3"/>
  <c r="W369" i="3"/>
  <c r="Y368" i="3"/>
  <c r="W368" i="3"/>
  <c r="Y367" i="3"/>
  <c r="W367" i="3"/>
  <c r="Y366" i="3"/>
  <c r="W366" i="3"/>
  <c r="Y365" i="3"/>
  <c r="W365" i="3"/>
  <c r="Y364" i="3"/>
  <c r="W364" i="3"/>
  <c r="Y363" i="3"/>
  <c r="W363" i="3"/>
  <c r="Y362" i="3"/>
  <c r="W362" i="3"/>
  <c r="Y361" i="3"/>
  <c r="W361" i="3"/>
  <c r="Y360" i="3"/>
  <c r="W360" i="3"/>
  <c r="Y359" i="3"/>
  <c r="W359" i="3"/>
  <c r="Y358" i="3"/>
  <c r="W358" i="3"/>
  <c r="Y357" i="3"/>
  <c r="W357" i="3"/>
  <c r="Y356" i="3"/>
  <c r="W356" i="3"/>
  <c r="Y355" i="3"/>
  <c r="W355" i="3"/>
  <c r="Y354" i="3"/>
  <c r="W354" i="3"/>
  <c r="Y353" i="3"/>
  <c r="W353" i="3"/>
  <c r="Y352" i="3"/>
  <c r="W352" i="3"/>
  <c r="Y351" i="3"/>
  <c r="W351" i="3"/>
  <c r="Y350" i="3"/>
  <c r="W350" i="3"/>
  <c r="Y349" i="3"/>
  <c r="W349" i="3"/>
  <c r="Y348" i="3"/>
  <c r="W348" i="3"/>
  <c r="Y347" i="3"/>
  <c r="W347" i="3"/>
  <c r="Y346" i="3"/>
  <c r="W346" i="3"/>
  <c r="Y345" i="3"/>
  <c r="W345" i="3"/>
  <c r="Y344" i="3"/>
  <c r="W344" i="3"/>
  <c r="Y343" i="3"/>
  <c r="W343" i="3"/>
  <c r="Y342" i="3"/>
  <c r="W342" i="3"/>
  <c r="Y341" i="3"/>
  <c r="W341" i="3"/>
  <c r="Y340" i="3"/>
  <c r="W340" i="3"/>
  <c r="Y339" i="3"/>
  <c r="W339" i="3"/>
  <c r="Y338" i="3"/>
  <c r="W338" i="3"/>
  <c r="Y337" i="3"/>
  <c r="W337" i="3"/>
  <c r="Y336" i="3"/>
  <c r="W336" i="3"/>
  <c r="Y335" i="3"/>
  <c r="W335" i="3"/>
  <c r="Y334" i="3"/>
  <c r="W334" i="3"/>
  <c r="Y333" i="3"/>
  <c r="W333" i="3"/>
  <c r="Y332" i="3"/>
  <c r="W332" i="3"/>
  <c r="Y331" i="3"/>
  <c r="W331" i="3"/>
  <c r="Y330" i="3"/>
  <c r="W330" i="3"/>
  <c r="Y329" i="3"/>
  <c r="W329" i="3"/>
  <c r="Y328" i="3"/>
  <c r="W328" i="3"/>
  <c r="Y327" i="3"/>
  <c r="W327" i="3"/>
  <c r="Y326" i="3"/>
  <c r="W326" i="3"/>
  <c r="Y325" i="3"/>
  <c r="W325" i="3"/>
  <c r="Y324" i="3"/>
  <c r="W324" i="3"/>
  <c r="Y323" i="3"/>
  <c r="W323" i="3"/>
  <c r="Y322" i="3"/>
  <c r="W322" i="3"/>
  <c r="Y321" i="3"/>
  <c r="W321" i="3"/>
  <c r="Y320" i="3"/>
  <c r="W320" i="3"/>
  <c r="Y319" i="3"/>
  <c r="W319" i="3"/>
  <c r="Y318" i="3"/>
  <c r="W318" i="3"/>
  <c r="Y317" i="3"/>
  <c r="W317" i="3"/>
  <c r="Y316" i="3"/>
  <c r="W316" i="3"/>
  <c r="Y315" i="3"/>
  <c r="W315" i="3"/>
  <c r="Y314" i="3"/>
  <c r="W314" i="3"/>
  <c r="Y313" i="3"/>
  <c r="W313" i="3"/>
  <c r="Y312" i="3"/>
  <c r="W312" i="3"/>
  <c r="Y311" i="3"/>
  <c r="W311" i="3"/>
  <c r="Y310" i="3"/>
  <c r="W310" i="3"/>
  <c r="Y309" i="3"/>
  <c r="W309" i="3"/>
  <c r="Y308" i="3"/>
  <c r="W308" i="3"/>
  <c r="Y307" i="3"/>
  <c r="W307" i="3"/>
  <c r="Y306" i="3"/>
  <c r="W306" i="3"/>
  <c r="Y305" i="3"/>
  <c r="W305" i="3"/>
  <c r="Y304" i="3"/>
  <c r="W304" i="3"/>
  <c r="Y303" i="3"/>
  <c r="W303" i="3"/>
  <c r="Y302" i="3"/>
  <c r="W302" i="3"/>
  <c r="Y301" i="3"/>
  <c r="W301" i="3"/>
  <c r="Y300" i="3"/>
  <c r="W300" i="3"/>
  <c r="Y299" i="3"/>
  <c r="W299" i="3"/>
  <c r="Y298" i="3"/>
  <c r="W298" i="3"/>
  <c r="Y297" i="3"/>
  <c r="W297" i="3"/>
  <c r="Y296" i="3"/>
  <c r="W296" i="3"/>
  <c r="Y295" i="3"/>
  <c r="W295" i="3"/>
  <c r="Y294" i="3"/>
  <c r="W294" i="3"/>
  <c r="Y293" i="3"/>
  <c r="W293" i="3"/>
  <c r="Y292" i="3"/>
  <c r="W292" i="3"/>
  <c r="Y291" i="3"/>
  <c r="W291" i="3"/>
  <c r="Y290" i="3"/>
  <c r="W290" i="3"/>
  <c r="Y289" i="3"/>
  <c r="W289" i="3"/>
  <c r="Y288" i="3"/>
  <c r="W288" i="3"/>
  <c r="Y287" i="3"/>
  <c r="W287" i="3"/>
  <c r="Y286" i="3"/>
  <c r="W286" i="3"/>
  <c r="Y285" i="3"/>
  <c r="W285" i="3"/>
  <c r="Y284" i="3"/>
  <c r="W284" i="3"/>
  <c r="Y283" i="3"/>
  <c r="W283" i="3"/>
  <c r="Y282" i="3"/>
  <c r="W282" i="3"/>
  <c r="Y281" i="3"/>
  <c r="W281" i="3"/>
  <c r="Y280" i="3"/>
  <c r="W280" i="3"/>
  <c r="Y279" i="3"/>
  <c r="W279" i="3"/>
  <c r="Y278" i="3"/>
  <c r="W278" i="3"/>
  <c r="Y277" i="3"/>
  <c r="W277" i="3"/>
  <c r="Y276" i="3"/>
  <c r="W276" i="3"/>
  <c r="Y275" i="3"/>
  <c r="W275" i="3"/>
  <c r="Y274" i="3"/>
  <c r="W274" i="3"/>
  <c r="Y273" i="3"/>
  <c r="W273" i="3"/>
  <c r="Y272" i="3"/>
  <c r="W272" i="3"/>
  <c r="Y271" i="3"/>
  <c r="W271" i="3"/>
  <c r="Y270" i="3"/>
  <c r="W270" i="3"/>
  <c r="Y269" i="3"/>
  <c r="W269" i="3"/>
  <c r="Y268" i="3"/>
  <c r="W268" i="3"/>
  <c r="Y267" i="3"/>
  <c r="W267" i="3"/>
  <c r="Y266" i="3"/>
  <c r="W266" i="3"/>
  <c r="Y265" i="3"/>
  <c r="W265" i="3"/>
  <c r="Y264" i="3"/>
  <c r="W264" i="3"/>
  <c r="Y263" i="3"/>
  <c r="W263" i="3"/>
  <c r="Y262" i="3"/>
  <c r="W262" i="3"/>
  <c r="Y261" i="3"/>
  <c r="W261" i="3"/>
  <c r="Y260" i="3"/>
  <c r="W260" i="3"/>
  <c r="Y259" i="3"/>
  <c r="W259" i="3"/>
  <c r="Y258" i="3"/>
  <c r="W258" i="3"/>
  <c r="Y257" i="3"/>
  <c r="W257" i="3"/>
  <c r="Y256" i="3"/>
  <c r="W256" i="3"/>
  <c r="Y255" i="3"/>
  <c r="W255" i="3"/>
  <c r="Y254" i="3"/>
  <c r="W254" i="3"/>
  <c r="Y253" i="3"/>
  <c r="W253" i="3"/>
  <c r="Y252" i="3"/>
  <c r="W252" i="3"/>
  <c r="Y251" i="3"/>
  <c r="W251" i="3"/>
  <c r="Y250" i="3"/>
  <c r="W250" i="3"/>
  <c r="Y249" i="3"/>
  <c r="W249" i="3"/>
  <c r="Y248" i="3"/>
  <c r="W248" i="3"/>
  <c r="Y247" i="3"/>
  <c r="W247" i="3"/>
  <c r="Y246" i="3"/>
  <c r="W246" i="3"/>
  <c r="Y245" i="3"/>
  <c r="W245" i="3"/>
  <c r="Y244" i="3"/>
  <c r="W244" i="3"/>
  <c r="Y243" i="3"/>
  <c r="W243" i="3"/>
  <c r="Y242" i="3"/>
  <c r="W242" i="3"/>
  <c r="Y241" i="3"/>
  <c r="W241" i="3"/>
  <c r="Y240" i="3"/>
  <c r="W240" i="3"/>
  <c r="Y239" i="3"/>
  <c r="W239" i="3"/>
  <c r="Y238" i="3"/>
  <c r="W238" i="3"/>
  <c r="Y237" i="3"/>
  <c r="W237" i="3"/>
  <c r="Y236" i="3"/>
  <c r="W236" i="3"/>
  <c r="Y235" i="3"/>
  <c r="W235" i="3"/>
  <c r="Y234" i="3"/>
  <c r="W234" i="3"/>
  <c r="Y233" i="3"/>
  <c r="W233" i="3"/>
  <c r="Y232" i="3"/>
  <c r="W232" i="3"/>
  <c r="Y231" i="3"/>
  <c r="W231" i="3"/>
  <c r="Y230" i="3"/>
  <c r="W230" i="3"/>
  <c r="Y229" i="3"/>
  <c r="W229" i="3"/>
  <c r="Y228" i="3"/>
  <c r="W228" i="3"/>
  <c r="Y227" i="3"/>
  <c r="W227" i="3"/>
  <c r="Y226" i="3"/>
  <c r="W226" i="3"/>
  <c r="Y225" i="3"/>
  <c r="W225" i="3"/>
  <c r="Y224" i="3"/>
  <c r="W224" i="3"/>
  <c r="Y223" i="3"/>
  <c r="W223" i="3"/>
  <c r="Y222" i="3"/>
  <c r="W222" i="3"/>
  <c r="Y221" i="3"/>
  <c r="W221" i="3"/>
  <c r="Y220" i="3"/>
  <c r="W220" i="3"/>
  <c r="Y219" i="3"/>
  <c r="W219" i="3"/>
  <c r="Y218" i="3"/>
  <c r="W218" i="3"/>
  <c r="Y217" i="3"/>
  <c r="W217" i="3"/>
  <c r="Y216" i="3"/>
  <c r="W216" i="3"/>
  <c r="Y215" i="3"/>
  <c r="W215" i="3"/>
  <c r="Y214" i="3"/>
  <c r="W214" i="3"/>
  <c r="Y213" i="3"/>
  <c r="W213" i="3"/>
  <c r="Y212" i="3"/>
  <c r="W212" i="3"/>
  <c r="Y211" i="3"/>
  <c r="W211" i="3"/>
  <c r="Y210" i="3"/>
  <c r="W210" i="3"/>
  <c r="Y209" i="3"/>
  <c r="W209" i="3"/>
  <c r="Y208" i="3"/>
  <c r="W208" i="3"/>
  <c r="Y207" i="3"/>
  <c r="W207" i="3"/>
  <c r="Y206" i="3"/>
  <c r="W206" i="3"/>
  <c r="Y205" i="3"/>
  <c r="W205" i="3"/>
  <c r="Y204" i="3"/>
  <c r="W204" i="3"/>
  <c r="Y203" i="3"/>
  <c r="W203" i="3"/>
  <c r="Y202" i="3"/>
  <c r="W202" i="3"/>
  <c r="Y201" i="3"/>
  <c r="W201" i="3"/>
  <c r="Y200" i="3"/>
  <c r="W200" i="3"/>
  <c r="Y199" i="3"/>
  <c r="W199" i="3"/>
  <c r="Y198" i="3"/>
  <c r="W198" i="3"/>
  <c r="Y197" i="3"/>
  <c r="W197" i="3"/>
  <c r="Y196" i="3"/>
  <c r="W196" i="3"/>
  <c r="Y195" i="3"/>
  <c r="W195" i="3"/>
  <c r="Y194" i="3"/>
  <c r="W194" i="3"/>
  <c r="Y193" i="3"/>
  <c r="W193" i="3"/>
  <c r="Y192" i="3"/>
  <c r="W192" i="3"/>
  <c r="Y191" i="3"/>
  <c r="W191" i="3"/>
  <c r="Y190" i="3"/>
  <c r="W190" i="3"/>
  <c r="Y189" i="3"/>
  <c r="W189" i="3"/>
  <c r="Y188" i="3"/>
  <c r="W188" i="3"/>
  <c r="Y187" i="3"/>
  <c r="W187" i="3"/>
  <c r="Y186" i="3"/>
  <c r="W186" i="3"/>
  <c r="Y185" i="3"/>
  <c r="W185" i="3"/>
  <c r="Y184" i="3"/>
  <c r="W184" i="3"/>
  <c r="Y183" i="3"/>
  <c r="W183" i="3"/>
  <c r="Y182" i="3"/>
  <c r="W182" i="3"/>
  <c r="Y181" i="3"/>
  <c r="W181" i="3"/>
  <c r="Y180" i="3"/>
  <c r="W180" i="3"/>
  <c r="Y179" i="3"/>
  <c r="W179" i="3"/>
  <c r="Y178" i="3"/>
  <c r="W178" i="3"/>
  <c r="Y177" i="3"/>
  <c r="W177" i="3"/>
  <c r="Y176" i="3"/>
  <c r="W176" i="3"/>
  <c r="Y175" i="3"/>
  <c r="W175" i="3"/>
  <c r="Y174" i="3"/>
  <c r="W174" i="3"/>
  <c r="Y173" i="3"/>
  <c r="W173" i="3"/>
  <c r="Y172" i="3"/>
  <c r="W172" i="3"/>
  <c r="Y171" i="3"/>
  <c r="W171" i="3"/>
  <c r="Y170" i="3"/>
  <c r="W170" i="3"/>
  <c r="Y169" i="3"/>
  <c r="W169" i="3"/>
  <c r="Y168" i="3"/>
  <c r="W168" i="3"/>
  <c r="Y167" i="3"/>
  <c r="W167" i="3"/>
  <c r="Y166" i="3"/>
  <c r="W166" i="3"/>
  <c r="Y165" i="3"/>
  <c r="W165" i="3"/>
  <c r="Y164" i="3"/>
  <c r="W164" i="3"/>
  <c r="Y163" i="3"/>
  <c r="W163" i="3"/>
  <c r="Y162" i="3"/>
  <c r="W162" i="3"/>
  <c r="Y161" i="3"/>
  <c r="W161" i="3"/>
  <c r="Y160" i="3"/>
  <c r="W160" i="3"/>
  <c r="Y159" i="3"/>
  <c r="W159" i="3"/>
  <c r="Y158" i="3"/>
  <c r="W158" i="3"/>
  <c r="Y157" i="3"/>
  <c r="W157" i="3"/>
  <c r="Y156" i="3"/>
  <c r="W156" i="3"/>
  <c r="Y155" i="3"/>
  <c r="W155" i="3"/>
  <c r="Y154" i="3"/>
  <c r="W154" i="3"/>
  <c r="Y153" i="3"/>
  <c r="W153" i="3"/>
  <c r="Y152" i="3"/>
  <c r="W152" i="3"/>
  <c r="Y151" i="3"/>
  <c r="W151" i="3"/>
  <c r="Y150" i="3"/>
  <c r="W150" i="3"/>
  <c r="Y149" i="3"/>
  <c r="W149" i="3"/>
  <c r="Y148" i="3"/>
  <c r="W148" i="3"/>
  <c r="Y147" i="3"/>
  <c r="W147" i="3"/>
  <c r="Y146" i="3"/>
  <c r="W146" i="3"/>
  <c r="Y145" i="3"/>
  <c r="W145" i="3"/>
  <c r="Y144" i="3"/>
  <c r="W144" i="3"/>
  <c r="Y143" i="3"/>
  <c r="W143" i="3"/>
  <c r="Y142" i="3"/>
  <c r="W142" i="3"/>
  <c r="Y141" i="3"/>
  <c r="W141" i="3"/>
  <c r="Y140" i="3"/>
  <c r="W140" i="3"/>
  <c r="Y139" i="3"/>
  <c r="W139" i="3"/>
  <c r="Y138" i="3"/>
  <c r="W138" i="3"/>
  <c r="Y137" i="3"/>
  <c r="W137" i="3"/>
  <c r="Y136" i="3"/>
  <c r="W136" i="3"/>
  <c r="Y135" i="3"/>
  <c r="W135" i="3"/>
  <c r="Y134" i="3"/>
  <c r="W134" i="3"/>
  <c r="Y133" i="3"/>
  <c r="W133" i="3"/>
  <c r="Y132" i="3"/>
  <c r="W132" i="3"/>
  <c r="Y131" i="3"/>
  <c r="W131" i="3"/>
  <c r="Y130" i="3"/>
  <c r="W130" i="3"/>
  <c r="Y129" i="3"/>
  <c r="W129" i="3"/>
  <c r="Y128" i="3"/>
  <c r="W128" i="3"/>
  <c r="Y127" i="3"/>
  <c r="W127" i="3"/>
  <c r="Y126" i="3"/>
  <c r="W126" i="3"/>
  <c r="Y125" i="3"/>
  <c r="W125" i="3"/>
  <c r="Y124" i="3"/>
  <c r="W124" i="3"/>
  <c r="Y123" i="3"/>
  <c r="W123" i="3"/>
  <c r="Y122" i="3"/>
  <c r="W122" i="3"/>
  <c r="Y121" i="3"/>
  <c r="W121" i="3"/>
  <c r="Y120" i="3"/>
  <c r="W120" i="3"/>
  <c r="Y119" i="3"/>
  <c r="W119" i="3"/>
  <c r="Y118" i="3"/>
  <c r="W118" i="3"/>
  <c r="Y117" i="3"/>
  <c r="W117" i="3"/>
  <c r="Y116" i="3"/>
  <c r="W116" i="3"/>
  <c r="Y115" i="3"/>
  <c r="W115" i="3"/>
  <c r="Y114" i="3"/>
  <c r="W114" i="3"/>
  <c r="Y113" i="3"/>
  <c r="W113" i="3"/>
  <c r="Y112" i="3"/>
  <c r="W112" i="3"/>
  <c r="Y111" i="3"/>
  <c r="W111" i="3"/>
  <c r="Y110" i="3"/>
  <c r="W110" i="3"/>
  <c r="Y109" i="3"/>
  <c r="W109" i="3"/>
  <c r="Y108" i="3"/>
  <c r="W108" i="3"/>
  <c r="Y107" i="3"/>
  <c r="W107" i="3"/>
  <c r="Y106" i="3"/>
  <c r="W106" i="3"/>
  <c r="Y105" i="3"/>
  <c r="W105" i="3"/>
  <c r="Y104" i="3"/>
  <c r="W104" i="3"/>
  <c r="Y103" i="3"/>
  <c r="W103" i="3"/>
  <c r="Y102" i="3"/>
  <c r="W102" i="3"/>
  <c r="Y101" i="3"/>
  <c r="W101" i="3"/>
  <c r="Y100" i="3"/>
  <c r="W100" i="3"/>
  <c r="Y99" i="3"/>
  <c r="W99" i="3"/>
  <c r="Y98" i="3"/>
  <c r="W98" i="3"/>
  <c r="Y97" i="3"/>
  <c r="W97" i="3"/>
  <c r="Y96" i="3"/>
  <c r="W96" i="3"/>
  <c r="Y95" i="3"/>
  <c r="W95" i="3"/>
  <c r="Y94" i="3"/>
  <c r="W94" i="3"/>
  <c r="Y93" i="3"/>
  <c r="W93" i="3"/>
  <c r="Y92" i="3"/>
  <c r="W92" i="3"/>
  <c r="Y91" i="3"/>
  <c r="W91" i="3"/>
  <c r="Y90" i="3"/>
  <c r="W90" i="3"/>
  <c r="Y89" i="3"/>
  <c r="W89" i="3"/>
  <c r="Y88" i="3"/>
  <c r="W88" i="3"/>
  <c r="Y87" i="3"/>
  <c r="W87" i="3"/>
  <c r="Y86" i="3"/>
  <c r="W86" i="3"/>
  <c r="Y85" i="3"/>
  <c r="W85" i="3"/>
  <c r="Y84" i="3"/>
  <c r="W84" i="3"/>
  <c r="Y83" i="3"/>
  <c r="W83" i="3"/>
  <c r="Y82" i="3"/>
  <c r="W82" i="3"/>
  <c r="Y81" i="3"/>
  <c r="W81" i="3"/>
  <c r="Y80" i="3"/>
  <c r="W80" i="3"/>
  <c r="Y79" i="3"/>
  <c r="W79" i="3"/>
  <c r="Y78" i="3"/>
  <c r="W78" i="3"/>
  <c r="Y77" i="3"/>
  <c r="W77" i="3"/>
  <c r="Y76" i="3"/>
  <c r="W76" i="3"/>
  <c r="Y75" i="3"/>
  <c r="W75" i="3"/>
  <c r="Y74" i="3"/>
  <c r="W74" i="3"/>
  <c r="Y73" i="3"/>
  <c r="W73" i="3"/>
  <c r="Y72" i="3"/>
  <c r="W72" i="3"/>
  <c r="Y71" i="3"/>
  <c r="W71" i="3"/>
  <c r="Y70" i="3"/>
  <c r="W70" i="3"/>
  <c r="Y69" i="3"/>
  <c r="W69" i="3"/>
  <c r="Y68" i="3"/>
  <c r="W68" i="3"/>
  <c r="Y67" i="3"/>
  <c r="W67" i="3"/>
  <c r="Y66" i="3"/>
  <c r="W66" i="3"/>
  <c r="Y65" i="3"/>
  <c r="W65" i="3"/>
  <c r="Y64" i="3"/>
  <c r="W64" i="3"/>
  <c r="Y63" i="3"/>
  <c r="W63" i="3"/>
  <c r="Y62" i="3"/>
  <c r="W62" i="3"/>
  <c r="Y61" i="3"/>
  <c r="W61" i="3"/>
  <c r="Y60" i="3"/>
  <c r="W60" i="3"/>
  <c r="Y59" i="3"/>
  <c r="W59" i="3"/>
  <c r="Y58" i="3"/>
  <c r="W58" i="3"/>
  <c r="Y57" i="3"/>
  <c r="W57" i="3"/>
  <c r="Y56" i="3"/>
  <c r="W56" i="3"/>
  <c r="Y55" i="3"/>
  <c r="W55" i="3"/>
  <c r="Y54" i="3"/>
  <c r="W54" i="3"/>
  <c r="Y53" i="3"/>
  <c r="W53" i="3"/>
  <c r="Y52" i="3"/>
  <c r="W52" i="3"/>
  <c r="Y51" i="3"/>
  <c r="W51" i="3"/>
  <c r="Y50" i="3"/>
  <c r="W50" i="3"/>
  <c r="Y49" i="3"/>
  <c r="W49" i="3"/>
  <c r="Y48" i="3"/>
  <c r="W48" i="3"/>
  <c r="Y47" i="3"/>
  <c r="W47" i="3"/>
  <c r="Y46" i="3"/>
  <c r="W46" i="3"/>
  <c r="Y45" i="3"/>
  <c r="W45" i="3"/>
  <c r="Y44" i="3"/>
  <c r="W44" i="3"/>
  <c r="Y43" i="3"/>
  <c r="W43" i="3"/>
  <c r="Y42" i="3"/>
  <c r="W42" i="3"/>
  <c r="Y41" i="3"/>
  <c r="W41" i="3"/>
  <c r="Y40" i="3"/>
  <c r="W40" i="3"/>
  <c r="Y39" i="3"/>
  <c r="W39" i="3"/>
  <c r="Y38" i="3"/>
  <c r="W38" i="3"/>
  <c r="Y37" i="3"/>
  <c r="W37" i="3"/>
  <c r="Y36" i="3"/>
  <c r="W36" i="3"/>
  <c r="Y35" i="3"/>
  <c r="W35" i="3"/>
  <c r="Y34" i="3"/>
  <c r="W34" i="3"/>
  <c r="Y33" i="3"/>
  <c r="W33" i="3"/>
  <c r="Y32" i="3"/>
  <c r="W32" i="3"/>
  <c r="Y31" i="3"/>
  <c r="W31" i="3"/>
  <c r="Y30" i="3"/>
  <c r="W30" i="3"/>
  <c r="Y29" i="3"/>
  <c r="W29" i="3"/>
  <c r="Y28" i="3"/>
  <c r="W28" i="3"/>
  <c r="Y27" i="3"/>
  <c r="W27" i="3"/>
  <c r="Y26" i="3"/>
  <c r="W26" i="3"/>
  <c r="Y25" i="3"/>
  <c r="W25" i="3"/>
  <c r="Y24" i="3"/>
  <c r="W24" i="3"/>
  <c r="Y23" i="3"/>
  <c r="W23" i="3"/>
  <c r="Y22" i="3"/>
  <c r="W22" i="3"/>
  <c r="Y21" i="3"/>
  <c r="W21" i="3"/>
  <c r="Y20" i="3"/>
  <c r="W20" i="3"/>
  <c r="Y19" i="3"/>
  <c r="W19" i="3"/>
  <c r="Y18" i="3"/>
  <c r="W18" i="3"/>
  <c r="Y17" i="3"/>
  <c r="W17" i="3"/>
  <c r="Y16" i="3"/>
  <c r="W16" i="3"/>
  <c r="Y15" i="3"/>
  <c r="W15" i="3"/>
  <c r="Y14" i="3"/>
  <c r="W14" i="3"/>
  <c r="Y13" i="3"/>
  <c r="W13" i="3"/>
  <c r="Y12" i="3"/>
  <c r="W12" i="3"/>
  <c r="Y11" i="3"/>
  <c r="W11" i="3"/>
  <c r="Y10" i="3"/>
  <c r="W10" i="3"/>
  <c r="Y9" i="3"/>
  <c r="W9" i="3"/>
  <c r="Y8" i="3"/>
  <c r="W8" i="3"/>
  <c r="F46" i="7" s="1"/>
  <c r="Y7" i="3"/>
  <c r="W7" i="3"/>
  <c r="Y6" i="3"/>
  <c r="W6" i="3"/>
  <c r="Y5" i="3"/>
  <c r="W5" i="3"/>
  <c r="B34" i="7" s="1"/>
  <c r="Y4" i="3"/>
  <c r="W4" i="3"/>
  <c r="F34" i="7" s="1"/>
  <c r="E27" i="9" l="1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B19" i="8"/>
  <c r="D19" i="8" s="1"/>
  <c r="B18" i="8"/>
  <c r="D18" i="8" s="1"/>
  <c r="B6" i="8"/>
  <c r="B9" i="9"/>
  <c r="A9" i="9"/>
  <c r="B21" i="8"/>
  <c r="D21" i="8" s="1"/>
  <c r="B11" i="8"/>
  <c r="D11" i="8" s="1"/>
  <c r="H9" i="9" l="1"/>
  <c r="E9" i="9"/>
  <c r="B10" i="8"/>
  <c r="D10" i="8" s="1"/>
  <c r="B8" i="8"/>
  <c r="D8" i="8" s="1"/>
  <c r="B7" i="8"/>
  <c r="C9" i="9" l="1"/>
  <c r="A4" i="9" s="1"/>
  <c r="A7" i="1" s="1"/>
  <c r="D7" i="8"/>
</calcChain>
</file>

<file path=xl/sharedStrings.xml><?xml version="1.0" encoding="utf-8"?>
<sst xmlns="http://schemas.openxmlformats.org/spreadsheetml/2006/main" count="875" uniqueCount="626">
  <si>
    <t>P95 PERSONAL OPERATING SYSTEM — AGENDA + ASISTENTE MÓVIL 2026</t>
  </si>
  <si>
    <t>Google Sheets = cerebro operativo · Calendar = reloj · WhatsApp = terminal móvil. El objetivo es operar con estándares internos P95 medibles, sin prometer un percentil externo garantizado.</t>
  </si>
  <si>
    <t>ÍNDICE P95</t>
  </si>
  <si>
    <t>EJECUCIÓN HOY</t>
  </si>
  <si>
    <t>FOCO HOY (MIN)</t>
  </si>
  <si>
    <t>VENCIDAS</t>
  </si>
  <si>
    <t>RUTINA DE OPERACIÓN</t>
  </si>
  <si>
    <t>Momento</t>
  </si>
  <si>
    <t>Acción</t>
  </si>
  <si>
    <t>Canal</t>
  </si>
  <si>
    <t>Regla P95</t>
  </si>
  <si>
    <t>Resultado</t>
  </si>
  <si>
    <t>Inicio del día</t>
  </si>
  <si>
    <t>Revisar HOY + Top 3 + bloque de foco</t>
  </si>
  <si>
    <t>WhatsApp / Agenda</t>
  </si>
  <si>
    <t>No abrir correo/chat antes de definir Top 3</t>
  </si>
  <si>
    <t>Dirección clara</t>
  </si>
  <si>
    <t>Durante el día</t>
  </si>
  <si>
    <t>Trabajar por bloques; capturar sin cambiar de tarea</t>
  </si>
  <si>
    <t>WhatsApp CAPTURA / Inbox</t>
  </si>
  <si>
    <t>Una tarea cognitiva a la vez</t>
  </si>
  <si>
    <t>Menos cambio de contexto</t>
  </si>
  <si>
    <t>Antes de reunión</t>
  </si>
  <si>
    <t>Definir propósito, decisión y prelectura</t>
  </si>
  <si>
    <t>Reuniones</t>
  </si>
  <si>
    <t>Sin propósito/resultado no entra</t>
  </si>
  <si>
    <t>Reuniones útiles</t>
  </si>
  <si>
    <t>Cierre</t>
  </si>
  <si>
    <t>Cerrar, reprogramar o delegar todo lo abierto</t>
  </si>
  <si>
    <t>WhatsApp CIERRE</t>
  </si>
  <si>
    <t>Cero pendientes ambiguos</t>
  </si>
  <si>
    <t>Backlog sano</t>
  </si>
  <si>
    <t>Viernes</t>
  </si>
  <si>
    <t>Revisión semanal + plan siguiente</t>
  </si>
  <si>
    <t>Reportes</t>
  </si>
  <si>
    <t>100% revisión semanal</t>
  </si>
  <si>
    <t>Mejora continua</t>
  </si>
  <si>
    <t>COMANDOS DE WHATSAPP</t>
  </si>
  <si>
    <t>Comando</t>
  </si>
  <si>
    <t>Qué hace</t>
  </si>
  <si>
    <t>Ejemplo</t>
  </si>
  <si>
    <t>HOY</t>
  </si>
  <si>
    <t>Prioridades, reuniones y vencimientos</t>
  </si>
  <si>
    <t>CAPTURA &lt;texto&gt;</t>
  </si>
  <si>
    <t>Guarda en Inbox sin romper foco</t>
  </si>
  <si>
    <t>CAPTURA llamar proveedor</t>
  </si>
  <si>
    <t>HECHO &lt;ID&gt;</t>
  </si>
  <si>
    <t>Cierra actividad</t>
  </si>
  <si>
    <t>HECHO AG-0007</t>
  </si>
  <si>
    <t>POSPONER &lt;ID&gt; &lt;min&gt;</t>
  </si>
  <si>
    <t>Reprograma</t>
  </si>
  <si>
    <t>POSPONER AG-0007 30</t>
  </si>
  <si>
    <t>FOCO &lt;min&gt; &lt;texto&gt;</t>
  </si>
  <si>
    <t>Crea bloque inmediato</t>
  </si>
  <si>
    <t>FOCO 60 cerrar informe</t>
  </si>
  <si>
    <t>CIERRE</t>
  </si>
  <si>
    <t>Cierre ejecutivo diario</t>
  </si>
  <si>
    <t>SEMANA</t>
  </si>
  <si>
    <t>Resumen semanal</t>
  </si>
  <si>
    <t>01 — INBOX UNIVERSAL / CAPTURA RÁPIDA</t>
  </si>
  <si>
    <t>Capturado en</t>
  </si>
  <si>
    <t>Fuente</t>
  </si>
  <si>
    <t>Tipo</t>
  </si>
  <si>
    <t>Entrada</t>
  </si>
  <si>
    <t>Contexto</t>
  </si>
  <si>
    <t>¿Acción?</t>
  </si>
  <si>
    <t>Fecha límite</t>
  </si>
  <si>
    <t>Estimado min</t>
  </si>
  <si>
    <t>Prioridad</t>
  </si>
  <si>
    <t>Procesado</t>
  </si>
  <si>
    <t>Agenda ID</t>
  </si>
  <si>
    <t>Notas</t>
  </si>
  <si>
    <t>WhatsApp</t>
  </si>
  <si>
    <t>Idea</t>
  </si>
  <si>
    <t>Ejemplo: preparar propuesta comercial</t>
  </si>
  <si>
    <t>Oficina</t>
  </si>
  <si>
    <t>Sí</t>
  </si>
  <si>
    <t>P2</t>
  </si>
  <si>
    <t>No</t>
  </si>
  <si>
    <t>Fila ejemplo; puede borrarse</t>
  </si>
  <si>
    <t>02 — AGENDA MAESTRA / EJECUCIÓN</t>
  </si>
  <si>
    <t>ID</t>
  </si>
  <si>
    <t>Fecha</t>
  </si>
  <si>
    <t>Inicio</t>
  </si>
  <si>
    <t>Fin</t>
  </si>
  <si>
    <t>Actividad</t>
  </si>
  <si>
    <t>Resultado esperado</t>
  </si>
  <si>
    <t>Objetivo/OKR</t>
  </si>
  <si>
    <t>Impacto 1-5</t>
  </si>
  <si>
    <t>Urgencia 1-5</t>
  </si>
  <si>
    <t>Energía</t>
  </si>
  <si>
    <t>Estado</t>
  </si>
  <si>
    <t>Responsable</t>
  </si>
  <si>
    <t>Delegable</t>
  </si>
  <si>
    <t>Recurrente ID</t>
  </si>
  <si>
    <t>Recordatorio min</t>
  </si>
  <si>
    <t>Calendar</t>
  </si>
  <si>
    <t>Event ID</t>
  </si>
  <si>
    <t>Completado en</t>
  </si>
  <si>
    <t>Min plan</t>
  </si>
  <si>
    <t>Min reales</t>
  </si>
  <si>
    <t>Score prioridad</t>
  </si>
  <si>
    <t>Foco profundo</t>
  </si>
  <si>
    <t>Contexto/Ubicación</t>
  </si>
  <si>
    <t>AG-0001</t>
  </si>
  <si>
    <t>Administrativo</t>
  </si>
  <si>
    <t>Plan diario + Top 3</t>
  </si>
  <si>
    <t>Top 3 definidos y agenda saneada</t>
  </si>
  <si>
    <t>P1</t>
  </si>
  <si>
    <t>Alta</t>
  </si>
  <si>
    <t>Hecho</t>
  </si>
  <si>
    <t>Yo</t>
  </si>
  <si>
    <t>R-001</t>
  </si>
  <si>
    <t>Plantilla</t>
  </si>
  <si>
    <t>AG-0002</t>
  </si>
  <si>
    <t>Foco</t>
  </si>
  <si>
    <t>Bloque de foco #1</t>
  </si>
  <si>
    <t>Avance verificable del objetivo principal</t>
  </si>
  <si>
    <t>En curso</t>
  </si>
  <si>
    <t>R-002</t>
  </si>
  <si>
    <t>Sin interrupciones</t>
  </si>
  <si>
    <t>Reemplazar por prioridad real</t>
  </si>
  <si>
    <t>AG-0003</t>
  </si>
  <si>
    <t>Procesar INBOX</t>
  </si>
  <si>
    <t>Inbox procesado/delegado/agendado</t>
  </si>
  <si>
    <t>Media</t>
  </si>
  <si>
    <t>Pendiente</t>
  </si>
  <si>
    <t>R-003</t>
  </si>
  <si>
    <t>Móvil/Oficina</t>
  </si>
  <si>
    <t>AG-0004</t>
  </si>
  <si>
    <t>Cierre diario</t>
  </si>
  <si>
    <t>Pendientes cerrados o reprogramados</t>
  </si>
  <si>
    <t>R-004</t>
  </si>
  <si>
    <t>Móvil</t>
  </si>
  <si>
    <t>03 — ACTIVIDADES RECURRENTES</t>
  </si>
  <si>
    <t>Activo</t>
  </si>
  <si>
    <t>Frecuencia</t>
  </si>
  <si>
    <t>Regla día</t>
  </si>
  <si>
    <t>Hora</t>
  </si>
  <si>
    <t>Duración min</t>
  </si>
  <si>
    <t>OKR</t>
  </si>
  <si>
    <t>Impacto</t>
  </si>
  <si>
    <t>Urgencia</t>
  </si>
  <si>
    <t>Inicio vigencia</t>
  </si>
  <si>
    <t>Fin vigencia</t>
  </si>
  <si>
    <t>Última generación</t>
  </si>
  <si>
    <t>LABORABLES</t>
  </si>
  <si>
    <t>LUN-MAR-MIE-JUE-VIE</t>
  </si>
  <si>
    <t>Top 3 definidos</t>
  </si>
  <si>
    <t>Arranque</t>
  </si>
  <si>
    <t>Avance principal</t>
  </si>
  <si>
    <t>Proteger de reuniones</t>
  </si>
  <si>
    <t>Inbox a cero ambiguo</t>
  </si>
  <si>
    <t>Batching</t>
  </si>
  <si>
    <t>Todo cerrado/reprogramado</t>
  </si>
  <si>
    <t>Cierre cognitivo</t>
  </si>
  <si>
    <t>R-005</t>
  </si>
  <si>
    <t>SEMANAL</t>
  </si>
  <si>
    <t>VIE</t>
  </si>
  <si>
    <t>Reporte</t>
  </si>
  <si>
    <t>Revisión semanal P95</t>
  </si>
  <si>
    <t>Informe y plan siguiente semana</t>
  </si>
  <si>
    <t>100% cumplimiento</t>
  </si>
  <si>
    <t>R-006</t>
  </si>
  <si>
    <t>MENSUAL</t>
  </si>
  <si>
    <t>1</t>
  </si>
  <si>
    <t>Revisión mensual y OKR</t>
  </si>
  <si>
    <t>Objetivos actualizados</t>
  </si>
  <si>
    <t>Día 1</t>
  </si>
  <si>
    <t>04 — SISTEMA DE REUNIONES / CADENCIAS</t>
  </si>
  <si>
    <t>Meeting ID</t>
  </si>
  <si>
    <t>Activa</t>
  </si>
  <si>
    <t>Nombre</t>
  </si>
  <si>
    <t>Cadencia</t>
  </si>
  <si>
    <t>Propósito</t>
  </si>
  <si>
    <t>Decisión/Salida obligatoria</t>
  </si>
  <si>
    <t>Owner</t>
  </si>
  <si>
    <t>Participantes</t>
  </si>
  <si>
    <t>Pre-read</t>
  </si>
  <si>
    <t>Agenda/Link</t>
  </si>
  <si>
    <t>OKR/KPI</t>
  </si>
  <si>
    <t>Próxima fecha</t>
  </si>
  <si>
    <t>Última fecha</t>
  </si>
  <si>
    <t>Efectividad 1-5</t>
  </si>
  <si>
    <t>Acciones generadas</t>
  </si>
  <si>
    <t>WA reminder</t>
  </si>
  <si>
    <t>MT-001</t>
  </si>
  <si>
    <t>Daily de operación</t>
  </si>
  <si>
    <t>DIARIA</t>
  </si>
  <si>
    <t>Alinear bloqueos y prioridades</t>
  </si>
  <si>
    <t>3 prioridades + bloqueos + responsables</t>
  </si>
  <si>
    <t>Equipo</t>
  </si>
  <si>
    <t>Activar solo si agrega valor</t>
  </si>
  <si>
    <t>MT-002</t>
  </si>
  <si>
    <t>Weekly de resultados</t>
  </si>
  <si>
    <t>Revisar resultados y decisiones</t>
  </si>
  <si>
    <t>Decisiones, owners y fechas</t>
  </si>
  <si>
    <t>MT-003</t>
  </si>
  <si>
    <t>1:1</t>
  </si>
  <si>
    <t>MAR</t>
  </si>
  <si>
    <t>Coaching y desbloqueo</t>
  </si>
  <si>
    <t>1 compromiso concreto</t>
  </si>
  <si>
    <t>Colaborador</t>
  </si>
  <si>
    <t>MT-004</t>
  </si>
  <si>
    <t>Revisión estratégica mensual</t>
  </si>
  <si>
    <t>Revisar OKR, riesgos y recursos</t>
  </si>
  <si>
    <t>Cambios de prioridad aprobados</t>
  </si>
  <si>
    <t>Equipo clave</t>
  </si>
  <si>
    <t>05 — OBJETIVOS / OKR / RESULTADOS CLAVE</t>
  </si>
  <si>
    <t>OKR ID</t>
  </si>
  <si>
    <t>Objetivo</t>
  </si>
  <si>
    <t>Resultado clave</t>
  </si>
  <si>
    <t>Periodo</t>
  </si>
  <si>
    <t>Línea base</t>
  </si>
  <si>
    <t>Meta</t>
  </si>
  <si>
    <t>Actual</t>
  </si>
  <si>
    <t>Unidad</t>
  </si>
  <si>
    <t>Progreso %</t>
  </si>
  <si>
    <t>Confianza 1-5</t>
  </si>
  <si>
    <t>Última actualización</t>
  </si>
  <si>
    <t>Próxima acción</t>
  </si>
  <si>
    <t>OKR-001</t>
  </si>
  <si>
    <t>Ejemplo: elevar ejecución personal</t>
  </si>
  <si>
    <t>Completar ≥85% de compromisos planificados</t>
  </si>
  <si>
    <t>Q3 2026</t>
  </si>
  <si>
    <t>%</t>
  </si>
  <si>
    <t>Cerrar Top 3 diario</t>
  </si>
  <si>
    <t>Reemplazar</t>
  </si>
  <si>
    <t>OKR-002</t>
  </si>
  <si>
    <t>Ejemplo: proteger concentración</t>
  </si>
  <si>
    <t>Lograr ≥600 min de foco profundo/semana</t>
  </si>
  <si>
    <t>min/sem</t>
  </si>
  <si>
    <t>Blindar bloques AM</t>
  </si>
  <si>
    <t>06 — MÉTRICAS DIARIAS / HIGIENE DE EJECUCIÓN</t>
  </si>
  <si>
    <t>Min foco plan</t>
  </si>
  <si>
    <t>Min foco real</t>
  </si>
  <si>
    <t>Interrupciones &gt;2min</t>
  </si>
  <si>
    <t>Min reuniones</t>
  </si>
  <si>
    <t>Min agenda plan</t>
  </si>
  <si>
    <t>Min agenda hecho</t>
  </si>
  <si>
    <t>Plan diario</t>
  </si>
  <si>
    <t>Revisión semanal</t>
  </si>
  <si>
    <t>Energía AM 1-5</t>
  </si>
  <si>
    <t>Energía PM 1-5</t>
  </si>
  <si>
    <t>Mejora 1%</t>
  </si>
  <si>
    <t>Comentarios</t>
  </si>
  <si>
    <t>07 — REPORTES AUTOMÁTICOS</t>
  </si>
  <si>
    <t>REPORTE SEMANAL ACTUAL</t>
  </si>
  <si>
    <t>Métrica</t>
  </si>
  <si>
    <t>Valor</t>
  </si>
  <si>
    <t>Meta P95</t>
  </si>
  <si>
    <t>Interpretación</t>
  </si>
  <si>
    <t>Inicio semana</t>
  </si>
  <si>
    <t>Fin semana</t>
  </si>
  <si>
    <t>Ejecución completada</t>
  </si>
  <si>
    <t>Compromisos cerrados / compromisos planificados</t>
  </si>
  <si>
    <t>Foco profundo (min)</t>
  </si>
  <si>
    <t>10 h/semana como estándar configurable</t>
  </si>
  <si>
    <t>Vencidas abiertas</t>
  </si>
  <si>
    <t>Backlog crítico</t>
  </si>
  <si>
    <t>Reuniones (min)</t>
  </si>
  <si>
    <t>Controlar carga de reuniones</t>
  </si>
  <si>
    <t>OKR progreso promedio</t>
  </si>
  <si>
    <t>Avance de resultados clave</t>
  </si>
  <si>
    <t>REPORTE MENSUAL ACTUAL</t>
  </si>
  <si>
    <t>Inicio mes</t>
  </si>
  <si>
    <t>Fin mes</t>
  </si>
  <si>
    <t>% actividades hechas</t>
  </si>
  <si>
    <t>Consistencia mensual</t>
  </si>
  <si>
    <t>40 h/mes configurable</t>
  </si>
  <si>
    <t>Promedio efectividad reuniones</t>
  </si>
  <si>
    <t>Escala 1-5</t>
  </si>
  <si>
    <t>Progreso OKR promedio</t>
  </si>
  <si>
    <t>Resultado, no actividad</t>
  </si>
  <si>
    <t>08 — DASHBOARD P95 / CONTROL EJECUTIVO</t>
  </si>
  <si>
    <t>ÍNDICE P95 (interno)</t>
  </si>
  <si>
    <t>VENCIDAS ABIERTAS</t>
  </si>
  <si>
    <t>EFECT. REUNIONES</t>
  </si>
  <si>
    <t>OKR progreso</t>
  </si>
  <si>
    <t>Ejecución semanal</t>
  </si>
  <si>
    <t>Interrupciones hoy</t>
  </si>
  <si>
    <t>TENDENCIA — ÚLTIMOS 14 DÍAS</t>
  </si>
  <si>
    <t>Foco real</t>
  </si>
  <si>
    <t>Agenda plan</t>
  </si>
  <si>
    <t>Agenda hecho</t>
  </si>
  <si>
    <t>Ejecución %</t>
  </si>
  <si>
    <t>Interrupciones</t>
  </si>
  <si>
    <t>09 — CELULAR COMO EXTENSIÓN DEL ASISTENTE</t>
  </si>
  <si>
    <t>El teléfono se usa como terminal de captura y decisión, no como fuente adicional de ruido. El asistente empuja solo eventos críticos y opera con comandos cortos.</t>
  </si>
  <si>
    <t>PROTOCOLO MÓVIL P95</t>
  </si>
  <si>
    <t>Intervención del asistente</t>
  </si>
  <si>
    <t>Respuesta ideal</t>
  </si>
  <si>
    <t>06:30</t>
  </si>
  <si>
    <t>Brief: Top 3, reuniones, vencimientos, foco protegido</t>
  </si>
  <si>
    <t>Confirmar / ajustar</t>
  </si>
  <si>
    <t>10 min antes</t>
  </si>
  <si>
    <t>Alerta solo P1 / reunión / fecha límite</t>
  </si>
  <si>
    <t>Ir / posponer / delegar</t>
  </si>
  <si>
    <t>Puntualidad</t>
  </si>
  <si>
    <t>Captura</t>
  </si>
  <si>
    <t>Guardar en INBOX sin procesar de inmediato</t>
  </si>
  <si>
    <t>CAPTURA …</t>
  </si>
  <si>
    <t>Cambios de contexto</t>
  </si>
  <si>
    <t>12:00</t>
  </si>
  <si>
    <t>Chequeo: ¿Top 1 sigue siendo el mismo?</t>
  </si>
  <si>
    <t>Sí / reordenar</t>
  </si>
  <si>
    <t>Alineación</t>
  </si>
  <si>
    <t>17:30</t>
  </si>
  <si>
    <t>Cierre: hechos, abiertos, bloqueados, delegados</t>
  </si>
  <si>
    <t>Informe semanal P95 + propuesta próxima semana</t>
  </si>
  <si>
    <t>COMANDOS</t>
  </si>
  <si>
    <t>Función</t>
  </si>
  <si>
    <t>Salida</t>
  </si>
  <si>
    <t>Resumen del día</t>
  </si>
  <si>
    <t>Top 3 + agenda + vencidas</t>
  </si>
  <si>
    <t>CAPTURA</t>
  </si>
  <si>
    <t>Añadir al Inbox</t>
  </si>
  <si>
    <t>CAPTURA revisar contrato X</t>
  </si>
  <si>
    <t>Confirmación</t>
  </si>
  <si>
    <t>HECHO</t>
  </si>
  <si>
    <t>Cerrar actividad</t>
  </si>
  <si>
    <t>HECHO AG-0021</t>
  </si>
  <si>
    <t>Estado + hora</t>
  </si>
  <si>
    <t>POSPONER</t>
  </si>
  <si>
    <t>Reprogramar minutos</t>
  </si>
  <si>
    <t>POSPONER AG-0021 45</t>
  </si>
  <si>
    <t>Nueva hora</t>
  </si>
  <si>
    <t>FOCO</t>
  </si>
  <si>
    <t>Crear bloque inmediato</t>
  </si>
  <si>
    <t>FOCO 90 preparar junta</t>
  </si>
  <si>
    <t>Bloque + Calendar</t>
  </si>
  <si>
    <t>Cierre operativo diario</t>
  </si>
  <si>
    <t>Pendientes + aprendizaje</t>
  </si>
  <si>
    <t>Informe semanal</t>
  </si>
  <si>
    <t>KPIs + alertas</t>
  </si>
  <si>
    <t>REGLAS DE NOTIFICACIÓN (ANTI-RUIDO)</t>
  </si>
  <si>
    <t>Severidad</t>
  </si>
  <si>
    <t>Cuándo notificar</t>
  </si>
  <si>
    <t>CRÍTICA</t>
  </si>
  <si>
    <t>P1 vencida, reunión en 10 min, bloqueo</t>
  </si>
  <si>
    <t>WhatsApp + Calendar</t>
  </si>
  <si>
    <t>ALTA</t>
  </si>
  <si>
    <t>Top 3 en riesgo, actividad vence hoy</t>
  </si>
  <si>
    <t>MEDIA</t>
  </si>
  <si>
    <t>Resumen mediodía / cierre</t>
  </si>
  <si>
    <t>WhatsApp agrupado</t>
  </si>
  <si>
    <t>BAJA</t>
  </si>
  <si>
    <t>Ideas, mejoras, no urgentes</t>
  </si>
  <si>
    <t>Sheet / reporte</t>
  </si>
  <si>
    <t>10 — CONFIGURACIÓN DE AUTOMATIZACIÓN</t>
  </si>
  <si>
    <t>CONFIGURACIÓN FUNCIONAL</t>
  </si>
  <si>
    <t>Parámetro</t>
  </si>
  <si>
    <t>Requerido</t>
  </si>
  <si>
    <t>Dónde se configura</t>
  </si>
  <si>
    <t>Nota</t>
  </si>
  <si>
    <t>TIMEZONE</t>
  </si>
  <si>
    <t>America/Bogota</t>
  </si>
  <si>
    <t>Script Properties</t>
  </si>
  <si>
    <t>Zona horaria</t>
  </si>
  <si>
    <t>CALENDAR_ID</t>
  </si>
  <si>
    <t>primary</t>
  </si>
  <si>
    <t>Calendario destino</t>
  </si>
  <si>
    <t>WA_ENABLED</t>
  </si>
  <si>
    <t>FALSE</t>
  </si>
  <si>
    <t>TRUE cuando WhatsApp esté listo</t>
  </si>
  <si>
    <t>WA_PROVIDER</t>
  </si>
  <si>
    <t>META_CLOUD</t>
  </si>
  <si>
    <t>Integración incluida</t>
  </si>
  <si>
    <t>WA_PHONE_NUMBER_ID</t>
  </si>
  <si>
    <t>Sí para WA</t>
  </si>
  <si>
    <t>ID de número Business</t>
  </si>
  <si>
    <t>WA_TOKEN</t>
  </si>
  <si>
    <t>SECRETO: nunca en celdas</t>
  </si>
  <si>
    <t>WA_TO_NUMBER</t>
  </si>
  <si>
    <t>E.164 sin +</t>
  </si>
  <si>
    <t>WA_API_VERSION</t>
  </si>
  <si>
    <t>Versión vigente Graph API</t>
  </si>
  <si>
    <t>WA_VERIFY_TOKEN</t>
  </si>
  <si>
    <t>Sí inbound</t>
  </si>
  <si>
    <t>Token del webhook</t>
  </si>
  <si>
    <t>SHEET_ID</t>
  </si>
  <si>
    <t>Recomendado</t>
  </si>
  <si>
    <t>ID del Google Sheet</t>
  </si>
  <si>
    <t>TRIGGERS RECOMENDADOS</t>
  </si>
  <si>
    <t>Tras setup</t>
  </si>
  <si>
    <t>generateRecurringTasks</t>
  </si>
  <si>
    <t>Diaria</t>
  </si>
  <si>
    <t>05:15</t>
  </si>
  <si>
    <t>Materializar recurrencias</t>
  </si>
  <si>
    <t>Evita duplicados</t>
  </si>
  <si>
    <t>dailyBrief</t>
  </si>
  <si>
    <t>Brief móvil</t>
  </si>
  <si>
    <t>WA: ventana/template</t>
  </si>
  <si>
    <t>upcomingAlerts</t>
  </si>
  <si>
    <t>Cada 15 min</t>
  </si>
  <si>
    <t>—</t>
  </si>
  <si>
    <t>Alertas críticas</t>
  </si>
  <si>
    <t>Solo WhatsApp=Sí</t>
  </si>
  <si>
    <t>syncAgendaToCalendar</t>
  </si>
  <si>
    <t>Cada hora</t>
  </si>
  <si>
    <t>Agenda → Calendar</t>
  </si>
  <si>
    <t>Escribe Event ID</t>
  </si>
  <si>
    <t>weeklyReport</t>
  </si>
  <si>
    <t>17:45</t>
  </si>
  <si>
    <t>Reporte P95</t>
  </si>
  <si>
    <t>Agrupado</t>
  </si>
  <si>
    <t>CHECKLIST DE ACTIVACIÓN</t>
  </si>
  <si>
    <t>Paso</t>
  </si>
  <si>
    <t>Abrir Extensiones &gt; Apps Script</t>
  </si>
  <si>
    <t>Copiar el código de 11_APPS_SCRIPT</t>
  </si>
  <si>
    <t>Configurar Script Properties sin exponer secretos</t>
  </si>
  <si>
    <t>Ejecutar setupTriggers() y autorizar</t>
  </si>
  <si>
    <t>Configurar WhatsApp Business + webhook</t>
  </si>
  <si>
    <t>Probar HOY, CAPTURA, HECHO y FOCO</t>
  </si>
  <si>
    <t>11 — GOOGLE APPS SCRIPT (COPIAR EN EXTENSIONES &gt; APPS SCRIPT)</t>
  </si>
  <si>
    <t>Este código activa recurrencias, Calendar y comandos bidireccionales por WhatsApp. Configure secretos solo en Project Settings &gt; Script Properties.</t>
  </si>
  <si>
    <t>Línea</t>
  </si>
  <si>
    <t>Código</t>
  </si>
  <si>
    <t>const CFG={AGENDA:'02_AGENDA',INBOX:'01_INBOX',RECUR:'03_RECURRENCIAS',DASH:'08_DASHBOARD'};</t>
  </si>
  <si>
    <t>function p_(){return PropertiesService.getScriptProperties()}</t>
  </si>
  <si>
    <t>function ss_(){const id=p_().getProperty('SHEET_ID');return id?SpreadsheetApp.openById(id):SpreadsheetApp.getActive()}</t>
  </si>
  <si>
    <t>function tz_(){return p_().getProperty('TIMEZONE')||'America/Bogota'}</t>
  </si>
  <si>
    <t>function v_(x){return x==null?'':String(x).trim()}</t>
  </si>
  <si>
    <t>function dk_(d){return Utilities.formatDate(new Date(d),tz_(),'yyyy-MM-dd')}</t>
  </si>
  <si>
    <t>function combine_(d,t){const x=new Date(d); if(t instanceof Date)x.setHours(t.getHours(),t.getMinutes(),0,0); return x}</t>
  </si>
  <si>
    <t>function onOpen(){</t>
  </si>
  <si>
    <t>SpreadsheetApp.getUi().createMenu('Asistente P95')</t>
  </si>
  <si>
    <t>.addItem('Generar recurrencias','generateRecurringTasks')</t>
  </si>
  <si>
    <t>.addItem('Sincronizar Calendar','syncAgendaToCalendar')</t>
  </si>
  <si>
    <t>.addItem('Enviar brief','dailyBrief')</t>
  </si>
  <si>
    <t>.addItem('Reporte semanal','weeklyReport')</t>
  </si>
  <si>
    <t>.addSeparator().addItem('Instalar triggers','setupTriggers').addToUi();</t>
  </si>
  <si>
    <t>}</t>
  </si>
  <si>
    <t>function setupTriggers(){</t>
  </si>
  <si>
    <t>const hs=['generateRecurringTasks','dailyBrief','upcomingAlerts','syncAgendaToCalendar','weeklyReport'];</t>
  </si>
  <si>
    <t>ScriptApp.getProjectTriggers().forEach(t=&gt;{if(hs.includes(t.getHandlerFunction()))ScriptApp.deleteTrigger(t)});</t>
  </si>
  <si>
    <t>ScriptApp.newTrigger('generateRecurringTasks').timeBased().everyDays(1).atHour(5).nearMinute(15).create();</t>
  </si>
  <si>
    <t>ScriptApp.newTrigger('dailyBrief').timeBased().everyDays(1).atHour(6).nearMinute(30).create();</t>
  </si>
  <si>
    <t>ScriptApp.newTrigger('upcomingAlerts').timeBased().everyMinutes(15).create();</t>
  </si>
  <si>
    <t>ScriptApp.newTrigger('syncAgendaToCalendar').timeBased().everyHours(1).create();</t>
  </si>
  <si>
    <t>ScriptApp.newTrigger('weeklyReport').timeBased().onWeekDay(ScriptApp.WeekDay.FRIDAY).atHour(17).nearMinute(45).create();</t>
  </si>
  <si>
    <t>function due_(freq,rule,d){</t>
  </si>
  <si>
    <t>const dow=['DOM','LUN','MAR','MIE','JUE','VIE','SAB'][d.getDay()],f=v_(freq).toUpperCase(),r=v_(rule).toUpperCase();</t>
  </si>
  <si>
    <t>if(f==='DIARIA')return true;</t>
  </si>
  <si>
    <t>if(f==='LABORABLES')return d.getDay()&gt;=1&amp;&amp;d.getDay()&lt;=5;</t>
  </si>
  <si>
    <t>if(f==='SEMANAL')return r.split(/[-,; ]+/).includes(dow);</t>
  </si>
  <si>
    <t>if(f==='MENSUAL')return Number(r)===d.getDate();</t>
  </si>
  <si>
    <t>if(f==='TRIMESTRAL')return Number(r)===d.getDate()&amp;&amp;[0,3,6,9].includes(d.getMonth());</t>
  </si>
  <si>
    <t>return false;</t>
  </si>
  <si>
    <t>function generateRecurringTasks(){</t>
  </si>
  <si>
    <t>const ss=ss_(),rs=ss.getSheetByName(CFG.RECUR),ag=ss.getSheetByName(CFG.AGENDA);</t>
  </si>
  <si>
    <t>const rr=rs.getDataRange().getValues().slice(3), aa=ag.getDataRange().getValues(), d=new Date(); d.setHours(0,0,0,0);</t>
  </si>
  <si>
    <t>const existing=new Set(aa.slice(3).map(r=&gt;`${dk_(r[1])}|${v_(r[15])}`)); let next=ag.getLastRow()+1;</t>
  </si>
  <si>
    <t>rr.forEach((r,i)=&gt;{</t>
  </si>
  <si>
    <t>const [rid,active,freq,rule,tm,dur,type,act,res,okr,pri,impact,urg,focus,rem,wa,cal,owner,start,end]=r;</t>
  </si>
  <si>
    <t>if(v_(active)!=='Sí'||!rid||!due_(freq,rule,d))return;</t>
  </si>
  <si>
    <t>if(start instanceof Date&amp;&amp;d&lt;new Date(start.getFullYear(),start.getMonth(),start.getDate()))return;</t>
  </si>
  <si>
    <t>if(end instanceof Date&amp;&amp;d&gt;new Date(end.getFullYear(),end.getMonth(),end.getDate(),23,59,59))return;</t>
  </si>
  <si>
    <t>const key=`${dk_(d)}|${rid}`; if(existing.has(key))return;</t>
  </si>
  <si>
    <t>const st=combine_(d,tm),en=new Date(st.getTime()+Number(dur||0)*60000),id=`AG-${Utilities.formatString('%04d',next++)}`;</t>
  </si>
  <si>
    <t>ag.appendRow([id,d,st,en,type,act,res,okr,pri,impact,urg,'Media','Pendiente',owner||'Yo','No',rid,rem||10,wa||'No',cal||'No','',d,'','','','',focus||'No','','Generado automáticamente']);</t>
  </si>
  <si>
    <t>rs.getRange(i+4,21).setValue(new Date()); existing.add(key);</t>
  </si>
  <si>
    <t>});</t>
  </si>
  <si>
    <t>function syncAgendaToCalendar(){</t>
  </si>
  <si>
    <t>const sh=ss_().getSheetByName(CFG.AGENDA),a=sh.getDataRange().getValues();</t>
  </si>
  <si>
    <t>const cal=CalendarApp.getCalendarById(p_().getProperty('CALENDAR_ID')||'primary');</t>
  </si>
  <si>
    <t>for(let i=3;i&lt;a.length;i++){</t>
  </si>
  <si>
    <t>const r=a[i]; if(!r[0]||v_(r[18])!=='Sí'||v_(r[19])||v_(r[12])==='Cancelada')continue;</t>
  </si>
  <si>
    <t>if(!(r[1] instanceof Date&amp;&amp;r[2] instanceof Date&amp;&amp;r[3] instanceof Date))continue;</t>
  </si>
  <si>
    <t>const st=combine_(r[1],r[2]),en=combine_(r[1],r[3]);</t>
  </si>
  <si>
    <t>const ev=cal.createEvent(`[${r[0]}] ${r[5]}`,st,en,{description:`Resultado: ${v_(r[6])}\nOKR: ${v_(r[7])}\nNotas: ${v_(r[27])}`});</t>
  </si>
  <si>
    <t>const rem=Number(r[16]||0); if(rem&gt;0)ev.addPopupReminder(Math.min(rem,40320));</t>
  </si>
  <si>
    <t>sh.getRange(i+1,20).setValue(ev.getId());</t>
  </si>
  <si>
    <t>function todayRows_(){</t>
  </si>
  <si>
    <t>const k=dk_(new Date());</t>
  </si>
  <si>
    <t>return ss_().getSheetByName(CFG.AGENDA).getDataRange().getValues().slice(3)</t>
  </si>
  <si>
    <t>.filter(r=&gt;r[0]&amp;&amp;dk_(r[1])===k&amp;&amp;v_(r[12])!=='Cancelada');</t>
  </si>
  <si>
    <t>function todaySummary_(){</t>
  </si>
  <si>
    <t>const rows=todayRows_().sort((a,b)=&gt;Number(b[24]||0)-Number(a[24]||0)),open=rows.filter(r=&gt;v_(r[12])!=='Hecho');</t>
  </si>
  <si>
    <t>let z=`📌 P95 HOY — ${dk_(new Date())}\nPendientes: ${open.length}\n\n`;</t>
  </si>
  <si>
    <t>open.slice(0,3).forEach((r,i)=&gt;z+=`${i+1}. ${r[0]} ${Utilities.formatDate(combine_(r[1],r[2]),tz_(),'HH:mm')} — ${r[5]} [${r[8]}]\n`);</t>
  </si>
  <si>
    <t>return z;</t>
  </si>
  <si>
    <t>function closeSummary_(){</t>
  </si>
  <si>
    <t>const r=todayRows_(),done=r.filter(x=&gt;v_(x[12])==='Hecho'),open=r.filter(x=&gt;v_(x[12])!=='Hecho');</t>
  </si>
  <si>
    <t>return `✅ CIERRE ${dk_(new Date())}\nHechas: ${done.length}/${r.length}\nAbiertas: ${open.length}\n`+open.slice(0,5).map(x=&gt;`• ${x[0]} ${x[5]}`).join('\n');</t>
  </si>
  <si>
    <t>function weeklySummary_(){</t>
  </si>
  <si>
    <t>const sh=ss_().getSheetByName('07_REPORTES'),dash=ss_().getSheetByName(CFG.DASH);</t>
  </si>
  <si>
    <t>return `📊 SEMANA P95\nÍndice: ${dash.getRange('A4').getDisplayValue()}\nEjecución: ${sh.getRange('B7').getDisplayValue()}\nFoco: ${sh.getRange('B8').getDisplayValue()} min\nVencidas: ${sh.getRange('B9').getDisplayValue()}\nOKR: ${sh.getRange('B11').getDisplayValue()}`;</t>
  </si>
  <si>
    <t>function dailyBrief(){sendWA_(todaySummary_())}</t>
  </si>
  <si>
    <t>function weeklyReport(){sendWA_(weeklySummary_())}</t>
  </si>
  <si>
    <t>function upcomingAlerts(){</t>
  </si>
  <si>
    <t>const now=new Date(),lim=new Date(now.getTime()+16*60000);</t>
  </si>
  <si>
    <t>todayRows_().forEach(r=&gt;{</t>
  </si>
  <si>
    <t>if(v_(r[17])!=='Sí'||v_(r[12])==='Hecho')return;</t>
  </si>
  <si>
    <t>const st=combine_(r[1],r[2]); if(st&gt;=now&amp;&amp;st&lt;=lim)sendWA_(`⏰ ${r[0]} en ${Math.max(0,Math.round((st-now)/60000))} min\n${r[5]}`);</t>
  </si>
  <si>
    <t>function find_(id){</t>
  </si>
  <si>
    <t>for(let i=3;i&lt;a.length;i++)if(v_(a[i][0]).toUpperCase()===v_(id).toUpperCase())return {sh,row:i+1,v:a[i]};</t>
  </si>
  <si>
    <t>return null;</t>
  </si>
  <si>
    <t>function command_(txt){</t>
  </si>
  <si>
    <t>const u=v_(txt).toUpperCase();</t>
  </si>
  <si>
    <t>if(u==='HOY')return todaySummary_(); if(u==='CIERRE')return closeSummary_(); if(u==='SEMANA')return weeklySummary_();</t>
  </si>
  <si>
    <t>if(u.startsWith('CAPTURA ')){</t>
  </si>
  <si>
    <t>const x=v_(txt).substring(8).trim(); ss_().getSheetByName(CFG.INBOX).appendRow([new Date(),'WhatsApp','Tarea',x,'Móvil','Sí','',30,'P2','No','','Capturado por asistente']); return `📥 Capturado: ${x}`;</t>
  </si>
  <si>
    <t>if(u.startsWith('HECHO ')){</t>
  </si>
  <si>
    <t>const id=v_(txt).split(/\s+/)[1],h=find_(id); if(!h)return `No encontré ${id}`;</t>
  </si>
  <si>
    <t>h.sh.getRange(h.row,13).setValue('Hecho'); h.sh.getRange(h.row,22).setValue(new Date()); return `✅ ${id} Hecho`;</t>
  </si>
  <si>
    <t>if(u.startsWith('POSPONER ')){</t>
  </si>
  <si>
    <t>const q=v_(txt).split(/\s+/),id=q[1],mins=Number(q[2]||30),h=find_(id); if(!h)return `No encontré ${id}`;</t>
  </si>
  <si>
    <t>const st=combine_(h.v[1],h.v[2]),en=combine_(h.v[1],h.v[3]); st.setMinutes(st.getMinutes()+mins);en.setMinutes(en.getMinutes()+mins);</t>
  </si>
  <si>
    <t>h.sh.getRange(h.row,2).setValue(st);h.sh.getRange(h.row,3).setValue(st);h.sh.getRange(h.row,4).setValue(en);</t>
  </si>
  <si>
    <t>return `↪️ ${id} → ${Utilities.formatDate(st,tz_(),'HH:mm')}`;</t>
  </si>
  <si>
    <t>if(u.startsWith('FOCO ')){</t>
  </si>
  <si>
    <t>const m=v_(txt).match(/^FOCO\s+(\d+)\s+(.+)$/i); if(!m)return 'Uso: FOCO &lt;min&gt; &lt;actividad&gt;';</t>
  </si>
  <si>
    <t>const mins=Number(m[1]),act=m[2],sh=ss_().getSheetByName(CFG.AGENDA),now=new Date(),en=new Date(now.getTime()+mins*60000),id=`AG-${Utilities.formatString('%04d',sh.getLastRow()+1)}`;</t>
  </si>
  <si>
    <t>sh.appendRow([id,now,now,en,'Foco',act,'Resultado tangible','','P1',5,4,'Alta','En curso','Yo','No','',10,'Sí','Sí','',now,'','','','', 'Sí','Móvil','Creado por WhatsApp']);</t>
  </si>
  <si>
    <t>return `🎯 ${id} — foco ${mins} min`;</t>
  </si>
  <si>
    <t>return 'HOY | CAPTURA &lt;texto&gt; | HECHO &lt;ID&gt; | POSPONER &lt;ID&gt; &lt;min&gt; | FOCO &lt;min&gt; &lt;texto&gt; | CIERRE | SEMANA';</t>
  </si>
  <si>
    <t>function sendWA_(text,toNumber){</t>
  </si>
  <si>
    <t>const p=p_(); if(v_(p.getProperty('WA_ENABLED')).toUpperCase()!=='TRUE')return;</t>
  </si>
  <si>
    <t>const pid=p.getProperty('WA_PHONE_NUMBER_ID'),token=p.getProperty('WA_TOKEN'),to=toNumber||p.getProperty('WA_TO_NUMBER'),ver=p.getProperty('WA_API_VERSION');</t>
  </si>
  <si>
    <t>if(!pid||!token||!to||!ver)throw new Error('Faltan propiedades WhatsApp');</t>
  </si>
  <si>
    <t>const url=`https://graph.facebook.com/${ver}/${pid}/messages`;</t>
  </si>
  <si>
    <t>const payload={messaging_product:'whatsapp',to:String(to).replace(/\D/g,''),type:'text',text:{preview_url:false,body:String(text).slice(0,4000)}};</t>
  </si>
  <si>
    <t>const res=UrlFetchApp.fetch(url,{method:'post',contentType:'application/json',headers:{Authorization:`Bearer ${token}`},payload:JSON.stringify(payload),muteHttpExceptions:true});</t>
  </si>
  <si>
    <t>if(res.getResponseCode()&gt;=300)throw new Error(res.getContentText());</t>
  </si>
  <si>
    <t>function doGet(e){</t>
  </si>
  <si>
    <t>const token=p_().getProperty('WA_VERIFY_TOKEN');</t>
  </si>
  <si>
    <t>if(e?.parameter?.['hub.verify_token']===token)return ContentService.createTextOutput(e.parameter['hub.challenge']||'OK');</t>
  </si>
  <si>
    <t>return ContentService.createTextOutput('P95 Assistant online');</t>
  </si>
  <si>
    <t>function doPost(e){</t>
  </si>
  <si>
    <t>try{</t>
  </si>
  <si>
    <t>const body=JSON.parse(e.postData.contents||'{}'),msg=body.entry?.[0]?.changes?.[0]?.value?.messages?.[0];</t>
  </si>
  <si>
    <t>if(msg?.type==='text')sendWA_(command_(msg.text.body),msg.from);</t>
  </si>
  <si>
    <t>}catch(err){console.error(err)}</t>
  </si>
  <si>
    <t>return ContentService.createTextOutput('EVENT_RECEIVED');</t>
  </si>
  <si>
    <t>12 — ESTÁNDARES P95 CONFIGURABLES</t>
  </si>
  <si>
    <t>Meta inicial</t>
  </si>
  <si>
    <t>Peso índice</t>
  </si>
  <si>
    <t>Rango saludable</t>
  </si>
  <si>
    <t>Editable</t>
  </si>
  <si>
    <t>Ejecución de agenda</t>
  </si>
  <si>
    <t>&gt;=85%</t>
  </si>
  <si>
    <t>Cerrar lo prometido</t>
  </si>
  <si>
    <t>Foco profundo diario (min)</t>
  </si>
  <si>
    <t>&gt;=120</t>
  </si>
  <si>
    <t>Trabajo cognitivo sin interrupciones</t>
  </si>
  <si>
    <t>&lt;=2</t>
  </si>
  <si>
    <t>Efectividad reuniones</t>
  </si>
  <si>
    <t>&gt;=4/5</t>
  </si>
  <si>
    <t>Reuniones con salida</t>
  </si>
  <si>
    <t>Progreso OKR</t>
  </si>
  <si>
    <t>&gt;=70% del plan</t>
  </si>
  <si>
    <t>Orientación a resultados</t>
  </si>
  <si>
    <t>&gt;=80%</t>
  </si>
  <si>
    <t>Consistencia</t>
  </si>
  <si>
    <t>100%</t>
  </si>
  <si>
    <t>Aprendizaje/ajuste</t>
  </si>
  <si>
    <t>“P95” significa estándar operativo interno exigente y configurable. No es una medición estadística contra pares ni garantiza superar al 95% de una población. Para percentil real se requiere una base comparable y métricas homogéneas.</t>
  </si>
  <si>
    <t>13 — DOCUMENTACIÓN, MÉTODO Y EVIDENCIA</t>
  </si>
  <si>
    <t>DISEÑO DEL SISTEMA</t>
  </si>
  <si>
    <t>Componente</t>
  </si>
  <si>
    <t>Implementación</t>
  </si>
  <si>
    <t>Por qué existe</t>
  </si>
  <si>
    <t>Timeboxing</t>
  </si>
  <si>
    <t>Bloques con inicio/fin + foco</t>
  </si>
  <si>
    <t>Protege trabajo importante</t>
  </si>
  <si>
    <t>Top 3 diario</t>
  </si>
  <si>
    <t>Plan recurrente</t>
  </si>
  <si>
    <t>Limita WIP y obliga a priorizar</t>
  </si>
  <si>
    <t>Si-entonces</t>
  </si>
  <si>
    <t>Recurrencias + reglas</t>
  </si>
  <si>
    <t>Convierte intención en conducta ejecutable</t>
  </si>
  <si>
    <t>Inbox + ventanas de procesamiento</t>
  </si>
  <si>
    <t>Evita responder a cada estímulo</t>
  </si>
  <si>
    <t>Meeting hygiene</t>
  </si>
  <si>
    <t>Propósito + salida + duración</t>
  </si>
  <si>
    <t>Reduce reuniones sin resultado</t>
  </si>
  <si>
    <t>Weekly review</t>
  </si>
  <si>
    <t>Reporte + plan siguiente</t>
  </si>
  <si>
    <t>Cierra ciclos y corrige rumbo</t>
  </si>
  <si>
    <t>Human + agent</t>
  </si>
  <si>
    <t>WhatsApp como terminal</t>
  </si>
  <si>
    <t>Asistente en contexto móvil</t>
  </si>
  <si>
    <t>Control por resultados</t>
  </si>
  <si>
    <t>OKR + índice P95</t>
  </si>
  <si>
    <t>No confundir actividad con avance</t>
  </si>
  <si>
    <t>EVIDENCIA Y REFERENCIAS</t>
  </si>
  <si>
    <t>Hallazgo usado</t>
  </si>
  <si>
    <t>URL</t>
  </si>
  <si>
    <t>Microsoft Work Trend Index 2025</t>
  </si>
  <si>
    <t>Interrupciones frecuentes y elevada proporción de reuniones ad hoc en usuarios de alto volumen.</t>
  </si>
  <si>
    <t>https://www.microsoft.com/en-us/worklab/work-trend-index/2025-the-year-the-frontier-firm-is-born</t>
  </si>
  <si>
    <t>APA — Multitasking</t>
  </si>
  <si>
    <t>El cambio repetido de tarea añade costos cognitivos y reduce eficiencia.</t>
  </si>
  <si>
    <t>https://www.apa.org/topics/research/multitasking</t>
  </si>
  <si>
    <t>Gollwitzer &amp; Sheeran</t>
  </si>
  <si>
    <t>Metaanálisis de 94 pruebas: efecto positivo medio-alto de implementation intentions sobre logro de metas.</t>
  </si>
  <si>
    <t>https://www.sciencedirect.com/science/article/abs/pii/S0065260106380021</t>
  </si>
  <si>
    <t>Google Calendar — Focus time</t>
  </si>
  <si>
    <t>Puede silenciar Chat y rechazar reuniones automáticamente en cuentas elegibles.</t>
  </si>
  <si>
    <t>https://support.google.com/calendar/answer/11190973</t>
  </si>
  <si>
    <t>Google Calendar — Time Insights</t>
  </si>
  <si>
    <t>Permite analizar tiempo de reuniones y concentración en cuentas elegibles.</t>
  </si>
  <si>
    <t>https://support.google.com/calendar/answer/10738043</t>
  </si>
  <si>
    <t>WhatsApp/Twilio</t>
  </si>
  <si>
    <t>Fuera de la ventana de servicio de 24 h, los mensajes proactivos requieren plantilla aprobada.</t>
  </si>
  <si>
    <t>https://www.twilio.com/docs/whatsapp/quickstart</t>
  </si>
  <si>
    <t>INSTALACIÓN EN 10 PASOS</t>
  </si>
  <si>
    <t>Definir objetivos y metas en 05_OKR y 12_CONFIG.</t>
  </si>
  <si>
    <t>Activar recurrencias en 03_RECURRENCIAS.</t>
  </si>
  <si>
    <t>Activar reuniones solo si tienen propósito y salida.</t>
  </si>
  <si>
    <t>Capturar todo primero en 01_INBOX.</t>
  </si>
  <si>
    <t>Usar 02_AGENDA como única fuente de compromisos con fecha/hora.</t>
  </si>
  <si>
    <t>Extensiones &gt; Apps Script: copiar 11_APPS_SCRIPT.</t>
  </si>
  <si>
    <t>Configurar Script Properties; nunca tokens en celdas.</t>
  </si>
  <si>
    <t>Ejecutar setupTriggers() y autorizar.</t>
  </si>
  <si>
    <t>Configurar WhatsApp Business/Cloud API y webhook.</t>
  </si>
  <si>
    <t>Revisar Dashboard diario y Reportes semanal.</t>
  </si>
  <si>
    <t>LÍMITE DE ACTIVACIÓN: la hoja y el código quedan preparados, pero WhatsApp exige credenciales de WhatsApp Business/Cloud API (o proveedor equivalente), permisos y plantillas aprobadas para mensajes proactivos fuera de la ventana permitida. No almacene credenciales en esta hoja.</t>
  </si>
  <si>
    <t>Diligenciamiento de los pagos de caña</t>
  </si>
  <si>
    <t>Base liquidación de cañas Septiembre</t>
  </si>
  <si>
    <t>3 Modelos de Formatos - Venta Caña</t>
  </si>
  <si>
    <t>Reunión Con Molinares - INCAUCA</t>
  </si>
  <si>
    <t>Reunión Con Castilla - CASTILLA</t>
  </si>
  <si>
    <t>Informar a Bernardo que hasta hoy labora</t>
  </si>
  <si>
    <t>Subir Acreencias - Hector Fabio Riascos 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</si>
</sst>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\ hh:mm"/>
    <numFmt numFmtId="165" formatCode="yyyy\-mm\-dd"/>
    <numFmt numFmtId="166" formatCode="hh:mm"/>
    <numFmt numFmtId="167" formatCode="0.0"/>
    <numFmt numFmtId="168" formatCode="dd\-mmm"/>
  </numFmts>
  <fonts count="7">
    <font>
      <sz val="11"/>
      <name val="Carlito"/>
    </font>
    <font>
      <b/>
      <sz val="16"/>
      <color rgb="FFFFFFFF"/>
      <name val="Carlito"/>
    </font>
    <font>
      <b/>
      <sz val="11"/>
      <name val="Carlito"/>
    </font>
    <font>
      <b/>
      <sz val="20"/>
      <name val="Carlito"/>
    </font>
    <font>
      <b/>
      <sz val="24"/>
      <name val="Carlito"/>
    </font>
    <font>
      <sz val="9"/>
      <name val="Courier New"/>
    </font>
    <font>
      <b/>
      <sz val="16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3F6F9"/>
      </patternFill>
    </fill>
    <fill>
      <patternFill patternType="solid">
        <fgColor rgb="FFD9EAF7"/>
      </patternFill>
    </fill>
    <fill>
      <patternFill patternType="solid">
        <fgColor rgb="FFE7E6E6"/>
      </patternFill>
    </fill>
    <fill>
      <patternFill patternType="solid">
        <fgColor rgb="FFFFF2CC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5" borderId="1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9" fontId="0" fillId="0" borderId="0" xfId="0" applyNumberFormat="1"/>
    <xf numFmtId="9" fontId="0" fillId="0" borderId="10" xfId="0" applyNumberFormat="1" applyBorder="1"/>
    <xf numFmtId="168" fontId="0" fillId="0" borderId="7" xfId="0" applyNumberFormat="1" applyBorder="1"/>
    <xf numFmtId="168" fontId="0" fillId="0" borderId="9" xfId="0" applyNumberFormat="1" applyBorder="1"/>
    <xf numFmtId="0" fontId="5" fillId="0" borderId="0" xfId="0" applyFont="1"/>
    <xf numFmtId="0" fontId="0" fillId="0" borderId="7" xfId="0" applyBorder="1" applyAlignment="1">
      <alignment wrapText="1"/>
    </xf>
    <xf numFmtId="0" fontId="0" fillId="0" borderId="0" xfId="0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11" xfId="0" applyBorder="1" applyAlignment="1">
      <alignment wrapText="1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0" fillId="3" borderId="0" xfId="0" applyFill="1" applyAlignment="1">
      <alignment wrapText="1"/>
    </xf>
    <xf numFmtId="0" fontId="2" fillId="4" borderId="0" xfId="0" applyFont="1" applyFill="1" applyAlignment="1">
      <alignment horizontal="center"/>
    </xf>
    <xf numFmtId="167" fontId="3" fillId="0" borderId="0" xfId="0" applyNumberFormat="1" applyFont="1" applyAlignment="1">
      <alignment horizontal="center" vertical="center"/>
    </xf>
    <xf numFmtId="9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2" fillId="4" borderId="0" xfId="0" applyFont="1" applyFill="1" applyAlignment="1">
      <alignment wrapText="1"/>
    </xf>
    <xf numFmtId="167" fontId="4" fillId="0" borderId="0" xfId="0" applyNumberFormat="1" applyFont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9" fontId="6" fillId="0" borderId="0" xfId="0" applyNumberFormat="1" applyFont="1" applyAlignment="1">
      <alignment horizontal="center" vertical="center"/>
    </xf>
    <xf numFmtId="9" fontId="0" fillId="0" borderId="0" xfId="0" applyNumberFormat="1"/>
    <xf numFmtId="1" fontId="6" fillId="0" borderId="0" xfId="0" applyNumberFormat="1" applyFont="1" applyAlignment="1">
      <alignment horizontal="center" vertical="center"/>
    </xf>
    <xf numFmtId="0" fontId="0" fillId="6" borderId="0" xfId="0" applyFill="1" applyAlignment="1">
      <alignment wrapText="1"/>
    </xf>
    <xf numFmtId="0" fontId="2" fillId="6" borderId="0" xfId="0" applyFont="1" applyFill="1" applyAlignment="1">
      <alignment wrapText="1"/>
    </xf>
    <xf numFmtId="0" fontId="0" fillId="7" borderId="0" xfId="0" applyFill="1"/>
  </cellXfs>
  <cellStyles count="1">
    <cellStyle name="Normal" xfId="0" builtinId="0"/>
  </cellStyles>
  <dxfs count="7"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CE5CD"/>
        </patternFill>
      </fill>
    </dxf>
    <dxf>
      <fill>
        <patternFill patternType="solid">
          <bgColor rgb="FFFFF2CC"/>
        </patternFill>
      </fill>
    </dxf>
    <dxf>
      <font>
        <b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title>
      <c:tx>
        <c:rich>
          <a:bodyPr/>
          <a:lstStyle/>
          <a:p>
            <a:r>
              <a:t>Foco profundo — 14 días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Foco real</c:v>
          </c:tx>
          <c:marker>
            <c:symbol val="none"/>
          </c:marker>
          <c:cat>
            <c:numRef>
              <c:f>'08_DASHBOARD'!$A$14:$A$27</c:f>
              <c:numCache>
                <c:formatCode>dd\-mmm</c:formatCode>
                <c:ptCount val="14"/>
                <c:pt idx="0">
                  <c:v>46242</c:v>
                </c:pt>
                <c:pt idx="1">
                  <c:v>46243</c:v>
                </c:pt>
                <c:pt idx="2">
                  <c:v>46244</c:v>
                </c:pt>
                <c:pt idx="3">
                  <c:v>46245</c:v>
                </c:pt>
                <c:pt idx="4">
                  <c:v>46246</c:v>
                </c:pt>
                <c:pt idx="5">
                  <c:v>46247</c:v>
                </c:pt>
                <c:pt idx="6">
                  <c:v>46248</c:v>
                </c:pt>
                <c:pt idx="7">
                  <c:v>46249</c:v>
                </c:pt>
                <c:pt idx="8">
                  <c:v>46250</c:v>
                </c:pt>
                <c:pt idx="9">
                  <c:v>46251</c:v>
                </c:pt>
                <c:pt idx="10">
                  <c:v>46252</c:v>
                </c:pt>
                <c:pt idx="11">
                  <c:v>46253</c:v>
                </c:pt>
                <c:pt idx="12">
                  <c:v>46254</c:v>
                </c:pt>
                <c:pt idx="13">
                  <c:v>46255</c:v>
                </c:pt>
              </c:numCache>
            </c:numRef>
          </c:cat>
          <c:val>
            <c:numRef>
              <c:f>'08_DASHBOARD'!$B$14:$B$27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5F6-4E60-B619-78436D947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dd\-mmm" sourceLinked="1"/>
        <c:majorTickMark val="none"/>
        <c:minorTickMark val="none"/>
        <c:tickLblPos val="nextTo"/>
        <c:crossAx val="48672768"/>
        <c:crosses val="autoZero"/>
        <c:auto val="1"/>
        <c:lblOffset val="100"/>
        <c:baseTimeUnit val="day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title>
      <c:tx>
        <c:rich>
          <a:bodyPr/>
          <a:lstStyle/>
          <a:p>
            <a:r>
              <a:t>Ejecución y carga — 14 días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Foco real</c:v>
          </c:tx>
          <c:marker>
            <c:symbol val="none"/>
          </c:marker>
          <c:cat>
            <c:numRef>
              <c:f>'08_DASHBOARD'!$A$14:$A$27</c:f>
              <c:numCache>
                <c:formatCode>dd\-mmm</c:formatCode>
                <c:ptCount val="14"/>
                <c:pt idx="0">
                  <c:v>46242</c:v>
                </c:pt>
                <c:pt idx="1">
                  <c:v>46243</c:v>
                </c:pt>
                <c:pt idx="2">
                  <c:v>46244</c:v>
                </c:pt>
                <c:pt idx="3">
                  <c:v>46245</c:v>
                </c:pt>
                <c:pt idx="4">
                  <c:v>46246</c:v>
                </c:pt>
                <c:pt idx="5">
                  <c:v>46247</c:v>
                </c:pt>
                <c:pt idx="6">
                  <c:v>46248</c:v>
                </c:pt>
                <c:pt idx="7">
                  <c:v>46249</c:v>
                </c:pt>
                <c:pt idx="8">
                  <c:v>46250</c:v>
                </c:pt>
                <c:pt idx="9">
                  <c:v>46251</c:v>
                </c:pt>
                <c:pt idx="10">
                  <c:v>46252</c:v>
                </c:pt>
                <c:pt idx="11">
                  <c:v>46253</c:v>
                </c:pt>
                <c:pt idx="12">
                  <c:v>46254</c:v>
                </c:pt>
                <c:pt idx="13">
                  <c:v>46255</c:v>
                </c:pt>
              </c:numCache>
            </c:numRef>
          </c:cat>
          <c:val>
            <c:numRef>
              <c:f>'08_DASHBOARD'!$B$14:$B$27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CEC-4157-9173-0D89B7F6FE47}"/>
            </c:ext>
          </c:extLst>
        </c:ser>
        <c:ser>
          <c:idx val="1"/>
          <c:order val="1"/>
          <c:tx>
            <c:v>Agenda plan</c:v>
          </c:tx>
          <c:marker>
            <c:symbol val="none"/>
          </c:marker>
          <c:cat>
            <c:numRef>
              <c:f>'08_DASHBOARD'!$A$14:$A$27</c:f>
              <c:numCache>
                <c:formatCode>dd\-mmm</c:formatCode>
                <c:ptCount val="14"/>
                <c:pt idx="0">
                  <c:v>46242</c:v>
                </c:pt>
                <c:pt idx="1">
                  <c:v>46243</c:v>
                </c:pt>
                <c:pt idx="2">
                  <c:v>46244</c:v>
                </c:pt>
                <c:pt idx="3">
                  <c:v>46245</c:v>
                </c:pt>
                <c:pt idx="4">
                  <c:v>46246</c:v>
                </c:pt>
                <c:pt idx="5">
                  <c:v>46247</c:v>
                </c:pt>
                <c:pt idx="6">
                  <c:v>46248</c:v>
                </c:pt>
                <c:pt idx="7">
                  <c:v>46249</c:v>
                </c:pt>
                <c:pt idx="8">
                  <c:v>46250</c:v>
                </c:pt>
                <c:pt idx="9">
                  <c:v>46251</c:v>
                </c:pt>
                <c:pt idx="10">
                  <c:v>46252</c:v>
                </c:pt>
                <c:pt idx="11">
                  <c:v>46253</c:v>
                </c:pt>
                <c:pt idx="12">
                  <c:v>46254</c:v>
                </c:pt>
                <c:pt idx="13">
                  <c:v>46255</c:v>
                </c:pt>
              </c:numCache>
            </c:numRef>
          </c:cat>
          <c:val>
            <c:numRef>
              <c:f>'08_DASHBOARD'!$C$14:$C$27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CEC-4157-9173-0D89B7F6FE47}"/>
            </c:ext>
          </c:extLst>
        </c:ser>
        <c:ser>
          <c:idx val="2"/>
          <c:order val="2"/>
          <c:tx>
            <c:v>Agenda hecho</c:v>
          </c:tx>
          <c:marker>
            <c:symbol val="none"/>
          </c:marker>
          <c:cat>
            <c:numRef>
              <c:f>'08_DASHBOARD'!$A$14:$A$27</c:f>
              <c:numCache>
                <c:formatCode>dd\-mmm</c:formatCode>
                <c:ptCount val="14"/>
                <c:pt idx="0">
                  <c:v>46242</c:v>
                </c:pt>
                <c:pt idx="1">
                  <c:v>46243</c:v>
                </c:pt>
                <c:pt idx="2">
                  <c:v>46244</c:v>
                </c:pt>
                <c:pt idx="3">
                  <c:v>46245</c:v>
                </c:pt>
                <c:pt idx="4">
                  <c:v>46246</c:v>
                </c:pt>
                <c:pt idx="5">
                  <c:v>46247</c:v>
                </c:pt>
                <c:pt idx="6">
                  <c:v>46248</c:v>
                </c:pt>
                <c:pt idx="7">
                  <c:v>46249</c:v>
                </c:pt>
                <c:pt idx="8">
                  <c:v>46250</c:v>
                </c:pt>
                <c:pt idx="9">
                  <c:v>46251</c:v>
                </c:pt>
                <c:pt idx="10">
                  <c:v>46252</c:v>
                </c:pt>
                <c:pt idx="11">
                  <c:v>46253</c:v>
                </c:pt>
                <c:pt idx="12">
                  <c:v>46254</c:v>
                </c:pt>
                <c:pt idx="13">
                  <c:v>46255</c:v>
                </c:pt>
              </c:numCache>
            </c:numRef>
          </c:cat>
          <c:val>
            <c:numRef>
              <c:f>'08_DASHBOARD'!$D$14:$D$27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ECEC-4157-9173-0D89B7F6FE47}"/>
            </c:ext>
          </c:extLst>
        </c:ser>
        <c:ser>
          <c:idx val="3"/>
          <c:order val="3"/>
          <c:tx>
            <c:v>Ejecución %</c:v>
          </c:tx>
          <c:marker>
            <c:symbol val="none"/>
          </c:marker>
          <c:cat>
            <c:numRef>
              <c:f>'08_DASHBOARD'!$A$14:$A$27</c:f>
              <c:numCache>
                <c:formatCode>dd\-mmm</c:formatCode>
                <c:ptCount val="14"/>
                <c:pt idx="0">
                  <c:v>46242</c:v>
                </c:pt>
                <c:pt idx="1">
                  <c:v>46243</c:v>
                </c:pt>
                <c:pt idx="2">
                  <c:v>46244</c:v>
                </c:pt>
                <c:pt idx="3">
                  <c:v>46245</c:v>
                </c:pt>
                <c:pt idx="4">
                  <c:v>46246</c:v>
                </c:pt>
                <c:pt idx="5">
                  <c:v>46247</c:v>
                </c:pt>
                <c:pt idx="6">
                  <c:v>46248</c:v>
                </c:pt>
                <c:pt idx="7">
                  <c:v>46249</c:v>
                </c:pt>
                <c:pt idx="8">
                  <c:v>46250</c:v>
                </c:pt>
                <c:pt idx="9">
                  <c:v>46251</c:v>
                </c:pt>
                <c:pt idx="10">
                  <c:v>46252</c:v>
                </c:pt>
                <c:pt idx="11">
                  <c:v>46253</c:v>
                </c:pt>
                <c:pt idx="12">
                  <c:v>46254</c:v>
                </c:pt>
                <c:pt idx="13">
                  <c:v>46255</c:v>
                </c:pt>
              </c:numCache>
            </c:numRef>
          </c:cat>
          <c:val>
            <c:numRef>
              <c:f>'08_DASHBOARD'!$E$14:$E$27</c:f>
              <c:numCache>
                <c:formatCode>0%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ECEC-4157-9173-0D89B7F6FE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dd\-mmm" sourceLinked="1"/>
        <c:majorTickMark val="none"/>
        <c:minorTickMark val="none"/>
        <c:tickLblPos val="nextTo"/>
        <c:crossAx val="48672768"/>
        <c:crosses val="autoZero"/>
        <c:auto val="1"/>
        <c:lblOffset val="100"/>
        <c:baseTimeUnit val="day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11</xdr:row>
      <xdr:rowOff>0</xdr:rowOff>
    </xdr:from>
    <xdr:to>
      <xdr:col>14</xdr:col>
      <xdr:colOff>0</xdr:colOff>
      <xdr:row>25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26</xdr:row>
      <xdr:rowOff>0</xdr:rowOff>
    </xdr:from>
    <xdr:to>
      <xdr:col>14</xdr:col>
      <xdr:colOff>0</xdr:colOff>
      <xdr:row>42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workbookViewId="0">
      <selection sqref="A1:J1"/>
    </sheetView>
  </sheetViews>
  <sheetFormatPr baseColWidth="10" defaultColWidth="8.796875" defaultRowHeight="13.8"/>
  <cols>
    <col min="1" max="1" width="19" customWidth="1"/>
    <col min="2" max="2" width="46" customWidth="1"/>
    <col min="3" max="4" width="34" customWidth="1"/>
    <col min="5" max="5" width="28" customWidth="1"/>
    <col min="6" max="6" width="3" customWidth="1"/>
    <col min="7" max="10" width="18" customWidth="1"/>
  </cols>
  <sheetData>
    <row r="1" spans="1:10" ht="22.35" customHeight="1">
      <c r="A1" s="26" t="s">
        <v>0</v>
      </c>
      <c r="B1" s="27"/>
      <c r="C1" s="27"/>
      <c r="D1" s="27"/>
      <c r="E1" s="27"/>
      <c r="F1" s="27"/>
      <c r="G1" s="27"/>
      <c r="H1" s="27"/>
      <c r="I1" s="27"/>
      <c r="J1" s="27"/>
    </row>
    <row r="3" spans="1:10">
      <c r="A3" s="28" t="s">
        <v>1</v>
      </c>
      <c r="B3" s="28"/>
      <c r="C3" s="28"/>
      <c r="D3" s="28"/>
      <c r="E3" s="28"/>
      <c r="F3" s="28"/>
      <c r="G3" s="28"/>
      <c r="H3" s="28"/>
      <c r="I3" s="28"/>
      <c r="J3" s="28"/>
    </row>
    <row r="4" spans="1:10">
      <c r="A4" s="28"/>
      <c r="B4" s="28"/>
      <c r="C4" s="28"/>
      <c r="D4" s="28"/>
      <c r="E4" s="28"/>
      <c r="F4" s="28"/>
      <c r="G4" s="28"/>
      <c r="H4" s="28"/>
      <c r="I4" s="28"/>
      <c r="J4" s="28"/>
    </row>
    <row r="6" spans="1:10">
      <c r="A6" s="29" t="s">
        <v>2</v>
      </c>
      <c r="B6" s="27"/>
      <c r="D6" s="29" t="s">
        <v>3</v>
      </c>
      <c r="E6" s="27"/>
      <c r="G6" s="29" t="s">
        <v>4</v>
      </c>
      <c r="H6" s="27"/>
      <c r="I6" s="29" t="s">
        <v>5</v>
      </c>
      <c r="J6" s="27"/>
    </row>
    <row r="7" spans="1:10">
      <c r="A7" s="30">
        <f ca="1">'08_DASHBOARD'!A4</f>
        <v>13.1</v>
      </c>
      <c r="B7" s="27"/>
      <c r="D7" s="31">
        <f ca="1">'08_DASHBOARD'!D4</f>
        <v>0</v>
      </c>
      <c r="E7" s="27"/>
      <c r="G7" s="32">
        <f ca="1">'08_DASHBOARD'!G4</f>
        <v>0</v>
      </c>
      <c r="H7" s="27"/>
      <c r="I7" s="32">
        <f ca="1">'08_DASHBOARD'!J4</f>
        <v>3</v>
      </c>
      <c r="J7" s="27"/>
    </row>
    <row r="8" spans="1:10">
      <c r="A8" s="27"/>
      <c r="B8" s="27"/>
      <c r="D8" s="27"/>
      <c r="E8" s="27"/>
      <c r="G8" s="27"/>
      <c r="H8" s="27"/>
      <c r="I8" s="27"/>
      <c r="J8" s="27"/>
    </row>
    <row r="10" spans="1:10">
      <c r="A10" s="33" t="s">
        <v>6</v>
      </c>
      <c r="B10" s="27"/>
      <c r="C10" s="27"/>
      <c r="D10" s="27"/>
      <c r="E10" s="27"/>
      <c r="F10" s="27"/>
      <c r="G10" s="27"/>
      <c r="H10" s="27"/>
      <c r="I10" s="27"/>
      <c r="J10" s="27"/>
    </row>
    <row r="11" spans="1:10" ht="24" customHeight="1">
      <c r="A11" s="4" t="s">
        <v>7</v>
      </c>
      <c r="B11" s="5" t="s">
        <v>8</v>
      </c>
      <c r="C11" s="5" t="s">
        <v>9</v>
      </c>
      <c r="D11" s="5" t="s">
        <v>10</v>
      </c>
      <c r="E11" s="6" t="s">
        <v>11</v>
      </c>
    </row>
    <row r="12" spans="1:10" ht="24" customHeight="1">
      <c r="A12" s="20" t="s">
        <v>12</v>
      </c>
      <c r="B12" s="21" t="s">
        <v>13</v>
      </c>
      <c r="C12" s="21" t="s">
        <v>14</v>
      </c>
      <c r="D12" s="21" t="s">
        <v>15</v>
      </c>
      <c r="E12" s="22" t="s">
        <v>16</v>
      </c>
    </row>
    <row r="13" spans="1:10" ht="24" customHeight="1">
      <c r="A13" s="20" t="s">
        <v>17</v>
      </c>
      <c r="B13" s="21" t="s">
        <v>18</v>
      </c>
      <c r="C13" s="21" t="s">
        <v>19</v>
      </c>
      <c r="D13" s="21" t="s">
        <v>20</v>
      </c>
      <c r="E13" s="22" t="s">
        <v>21</v>
      </c>
    </row>
    <row r="14" spans="1:10" ht="24" customHeight="1">
      <c r="A14" s="20" t="s">
        <v>22</v>
      </c>
      <c r="B14" s="21" t="s">
        <v>23</v>
      </c>
      <c r="C14" s="21" t="s">
        <v>24</v>
      </c>
      <c r="D14" s="21" t="s">
        <v>25</v>
      </c>
      <c r="E14" s="22" t="s">
        <v>26</v>
      </c>
    </row>
    <row r="15" spans="1:10" ht="24" customHeight="1">
      <c r="A15" s="20" t="s">
        <v>27</v>
      </c>
      <c r="B15" s="21" t="s">
        <v>28</v>
      </c>
      <c r="C15" s="21" t="s">
        <v>29</v>
      </c>
      <c r="D15" s="21" t="s">
        <v>30</v>
      </c>
      <c r="E15" s="22" t="s">
        <v>31</v>
      </c>
    </row>
    <row r="16" spans="1:10" ht="24" customHeight="1">
      <c r="A16" s="23" t="s">
        <v>32</v>
      </c>
      <c r="B16" s="24" t="s">
        <v>33</v>
      </c>
      <c r="C16" s="24" t="s">
        <v>34</v>
      </c>
      <c r="D16" s="24" t="s">
        <v>35</v>
      </c>
      <c r="E16" s="25" t="s">
        <v>36</v>
      </c>
    </row>
    <row r="18" spans="1:10">
      <c r="A18" s="33" t="s">
        <v>37</v>
      </c>
      <c r="B18" s="27"/>
      <c r="C18" s="27"/>
      <c r="D18" s="27"/>
      <c r="E18" s="27"/>
      <c r="F18" s="27"/>
      <c r="G18" s="27"/>
      <c r="H18" s="27"/>
      <c r="I18" s="27"/>
      <c r="J18" s="27"/>
    </row>
    <row r="19" spans="1:10">
      <c r="A19" s="4" t="s">
        <v>38</v>
      </c>
      <c r="B19" s="5" t="s">
        <v>39</v>
      </c>
      <c r="C19" s="6" t="s">
        <v>40</v>
      </c>
    </row>
    <row r="20" spans="1:10">
      <c r="A20" s="7" t="s">
        <v>41</v>
      </c>
      <c r="B20" t="s">
        <v>42</v>
      </c>
      <c r="C20" s="8" t="s">
        <v>41</v>
      </c>
    </row>
    <row r="21" spans="1:10">
      <c r="A21" s="7" t="s">
        <v>43</v>
      </c>
      <c r="B21" t="s">
        <v>44</v>
      </c>
      <c r="C21" s="8" t="s">
        <v>45</v>
      </c>
    </row>
    <row r="22" spans="1:10">
      <c r="A22" s="7" t="s">
        <v>46</v>
      </c>
      <c r="B22" t="s">
        <v>47</v>
      </c>
      <c r="C22" s="8" t="s">
        <v>48</v>
      </c>
    </row>
    <row r="23" spans="1:10">
      <c r="A23" s="7" t="s">
        <v>49</v>
      </c>
      <c r="B23" t="s">
        <v>50</v>
      </c>
      <c r="C23" s="8" t="s">
        <v>51</v>
      </c>
    </row>
    <row r="24" spans="1:10">
      <c r="A24" s="7" t="s">
        <v>52</v>
      </c>
      <c r="B24" t="s">
        <v>53</v>
      </c>
      <c r="C24" s="8" t="s">
        <v>54</v>
      </c>
    </row>
    <row r="25" spans="1:10">
      <c r="A25" s="7" t="s">
        <v>55</v>
      </c>
      <c r="B25" t="s">
        <v>56</v>
      </c>
      <c r="C25" s="8" t="s">
        <v>55</v>
      </c>
    </row>
    <row r="26" spans="1:10">
      <c r="A26" s="9" t="s">
        <v>57</v>
      </c>
      <c r="B26" s="10" t="s">
        <v>58</v>
      </c>
      <c r="C26" s="11" t="s">
        <v>57</v>
      </c>
    </row>
  </sheetData>
  <mergeCells count="12">
    <mergeCell ref="A10:J10"/>
    <mergeCell ref="A18:J18"/>
    <mergeCell ref="A1:J1"/>
    <mergeCell ref="A3:J4"/>
    <mergeCell ref="A6:B6"/>
    <mergeCell ref="A7:B8"/>
    <mergeCell ref="D6:E6"/>
    <mergeCell ref="D7:E8"/>
    <mergeCell ref="G6:H6"/>
    <mergeCell ref="G7:H8"/>
    <mergeCell ref="I6:J6"/>
    <mergeCell ref="I7:J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00"/>
  <sheetViews>
    <sheetView workbookViewId="0">
      <selection activeCell="D35" sqref="D35"/>
    </sheetView>
  </sheetViews>
  <sheetFormatPr baseColWidth="10" defaultColWidth="8.796875" defaultRowHeight="13.8"/>
  <cols>
    <col min="1" max="1" width="19" customWidth="1"/>
    <col min="2" max="2" width="14" customWidth="1"/>
    <col min="3" max="3" width="16" customWidth="1"/>
    <col min="4" max="4" width="42" customWidth="1"/>
    <col min="5" max="5" width="20" customWidth="1"/>
    <col min="6" max="6" width="12" customWidth="1"/>
    <col min="7" max="7" width="14" customWidth="1"/>
    <col min="8" max="8" width="13" customWidth="1"/>
    <col min="9" max="9" width="11" customWidth="1"/>
    <col min="10" max="10" width="12" customWidth="1"/>
    <col min="11" max="11" width="14" customWidth="1"/>
    <col min="12" max="12" width="34" customWidth="1"/>
  </cols>
  <sheetData>
    <row r="1" spans="1:12" ht="22.35" customHeight="1">
      <c r="A1" s="26" t="s">
        <v>59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</row>
    <row r="3" spans="1:12">
      <c r="A3" s="1" t="s">
        <v>60</v>
      </c>
      <c r="B3" s="2" t="s">
        <v>61</v>
      </c>
      <c r="C3" s="2" t="s">
        <v>62</v>
      </c>
      <c r="D3" s="2" t="s">
        <v>63</v>
      </c>
      <c r="E3" s="2" t="s">
        <v>64</v>
      </c>
      <c r="F3" s="2" t="s">
        <v>65</v>
      </c>
      <c r="G3" s="2" t="s">
        <v>66</v>
      </c>
      <c r="H3" s="2" t="s">
        <v>67</v>
      </c>
      <c r="I3" s="2" t="s">
        <v>68</v>
      </c>
      <c r="J3" s="2" t="s">
        <v>69</v>
      </c>
      <c r="K3" s="2" t="s">
        <v>70</v>
      </c>
      <c r="L3" s="3" t="s">
        <v>71</v>
      </c>
    </row>
    <row r="4" spans="1:12">
      <c r="A4" s="12">
        <v>46255.388888888891</v>
      </c>
      <c r="B4" t="s">
        <v>72</v>
      </c>
      <c r="C4" t="s">
        <v>73</v>
      </c>
      <c r="D4" t="s">
        <v>74</v>
      </c>
      <c r="E4" t="s">
        <v>75</v>
      </c>
      <c r="F4" t="s">
        <v>76</v>
      </c>
      <c r="G4" s="13">
        <v>46255</v>
      </c>
      <c r="H4">
        <v>30</v>
      </c>
      <c r="I4" t="s">
        <v>77</v>
      </c>
      <c r="J4" t="s">
        <v>78</v>
      </c>
      <c r="L4" t="s">
        <v>79</v>
      </c>
    </row>
    <row r="5" spans="1:12">
      <c r="A5" s="12"/>
      <c r="G5" s="13"/>
    </row>
    <row r="6" spans="1:12">
      <c r="A6" s="12"/>
      <c r="G6" s="13"/>
    </row>
    <row r="7" spans="1:12">
      <c r="A7" s="12"/>
      <c r="G7" s="13"/>
    </row>
    <row r="8" spans="1:12">
      <c r="A8" s="12"/>
      <c r="G8" s="13"/>
    </row>
    <row r="9" spans="1:12">
      <c r="A9" s="12"/>
      <c r="G9" s="13"/>
    </row>
    <row r="10" spans="1:12">
      <c r="A10" s="12"/>
      <c r="G10" s="13"/>
    </row>
    <row r="11" spans="1:12">
      <c r="A11" s="12"/>
      <c r="G11" s="13"/>
    </row>
    <row r="12" spans="1:12">
      <c r="A12" s="12"/>
      <c r="G12" s="13"/>
    </row>
    <row r="13" spans="1:12">
      <c r="A13" s="12"/>
      <c r="G13" s="13"/>
    </row>
    <row r="14" spans="1:12">
      <c r="A14" s="12"/>
      <c r="G14" s="13"/>
    </row>
    <row r="15" spans="1:12">
      <c r="A15" s="12"/>
      <c r="G15" s="13"/>
    </row>
    <row r="16" spans="1:12">
      <c r="A16" s="12"/>
      <c r="G16" s="13"/>
    </row>
    <row r="17" spans="1:7">
      <c r="A17" s="12"/>
      <c r="G17" s="13"/>
    </row>
    <row r="18" spans="1:7">
      <c r="A18" s="12"/>
      <c r="G18" s="13"/>
    </row>
    <row r="19" spans="1:7">
      <c r="A19" s="12"/>
      <c r="G19" s="13"/>
    </row>
    <row r="20" spans="1:7">
      <c r="A20" s="12"/>
      <c r="G20" s="13"/>
    </row>
    <row r="21" spans="1:7">
      <c r="A21" s="12"/>
      <c r="G21" s="13"/>
    </row>
    <row r="22" spans="1:7">
      <c r="A22" s="12"/>
      <c r="G22" s="13"/>
    </row>
    <row r="23" spans="1:7">
      <c r="A23" s="12"/>
      <c r="G23" s="13"/>
    </row>
    <row r="24" spans="1:7">
      <c r="A24" s="12"/>
      <c r="G24" s="13"/>
    </row>
    <row r="25" spans="1:7">
      <c r="A25" s="12"/>
      <c r="G25" s="13"/>
    </row>
    <row r="26" spans="1:7">
      <c r="A26" s="12"/>
      <c r="G26" s="13"/>
    </row>
    <row r="27" spans="1:7">
      <c r="A27" s="12"/>
      <c r="G27" s="13"/>
    </row>
    <row r="28" spans="1:7">
      <c r="A28" s="12"/>
      <c r="G28" s="13"/>
    </row>
    <row r="29" spans="1:7">
      <c r="A29" s="12"/>
      <c r="G29" s="13"/>
    </row>
    <row r="30" spans="1:7">
      <c r="A30" s="12"/>
      <c r="G30" s="13"/>
    </row>
    <row r="31" spans="1:7">
      <c r="A31" s="12"/>
      <c r="G31" s="13"/>
    </row>
    <row r="32" spans="1:7">
      <c r="A32" s="12"/>
      <c r="G32" s="13"/>
    </row>
    <row r="33" spans="1:7">
      <c r="A33" s="12"/>
      <c r="G33" s="13"/>
    </row>
    <row r="34" spans="1:7">
      <c r="A34" s="12"/>
      <c r="G34" s="13"/>
    </row>
    <row r="35" spans="1:7">
      <c r="A35" s="12"/>
      <c r="G35" s="13"/>
    </row>
    <row r="36" spans="1:7">
      <c r="A36" s="12"/>
      <c r="G36" s="13"/>
    </row>
    <row r="37" spans="1:7">
      <c r="A37" s="12"/>
      <c r="G37" s="13"/>
    </row>
    <row r="38" spans="1:7">
      <c r="A38" s="12"/>
      <c r="G38" s="13"/>
    </row>
    <row r="39" spans="1:7">
      <c r="A39" s="12"/>
      <c r="G39" s="13"/>
    </row>
    <row r="40" spans="1:7">
      <c r="A40" s="12"/>
      <c r="G40" s="13"/>
    </row>
    <row r="41" spans="1:7">
      <c r="A41" s="12"/>
      <c r="G41" s="13"/>
    </row>
    <row r="42" spans="1:7">
      <c r="A42" s="12"/>
      <c r="G42" s="13"/>
    </row>
    <row r="43" spans="1:7">
      <c r="A43" s="12"/>
      <c r="G43" s="13"/>
    </row>
    <row r="44" spans="1:7">
      <c r="A44" s="12"/>
      <c r="G44" s="13"/>
    </row>
    <row r="45" spans="1:7">
      <c r="A45" s="12"/>
      <c r="G45" s="13"/>
    </row>
    <row r="46" spans="1:7">
      <c r="A46" s="12"/>
      <c r="G46" s="13"/>
    </row>
    <row r="47" spans="1:7">
      <c r="A47" s="12"/>
      <c r="G47" s="13"/>
    </row>
    <row r="48" spans="1:7">
      <c r="A48" s="12"/>
      <c r="G48" s="13"/>
    </row>
    <row r="49" spans="1:7">
      <c r="A49" s="12"/>
      <c r="G49" s="13"/>
    </row>
    <row r="50" spans="1:7">
      <c r="A50" s="12"/>
      <c r="G50" s="13"/>
    </row>
    <row r="51" spans="1:7">
      <c r="A51" s="12"/>
      <c r="G51" s="13"/>
    </row>
    <row r="52" spans="1:7">
      <c r="A52" s="12"/>
      <c r="G52" s="13"/>
    </row>
    <row r="53" spans="1:7">
      <c r="A53" s="12"/>
      <c r="G53" s="13"/>
    </row>
    <row r="54" spans="1:7">
      <c r="A54" s="12"/>
      <c r="G54" s="13"/>
    </row>
    <row r="55" spans="1:7">
      <c r="A55" s="12"/>
      <c r="G55" s="13"/>
    </row>
    <row r="56" spans="1:7">
      <c r="A56" s="12"/>
      <c r="G56" s="13"/>
    </row>
    <row r="57" spans="1:7">
      <c r="A57" s="12"/>
      <c r="G57" s="13"/>
    </row>
    <row r="58" spans="1:7">
      <c r="A58" s="12"/>
      <c r="G58" s="13"/>
    </row>
    <row r="59" spans="1:7">
      <c r="A59" s="12"/>
      <c r="G59" s="13"/>
    </row>
    <row r="60" spans="1:7">
      <c r="A60" s="12"/>
      <c r="G60" s="13"/>
    </row>
    <row r="61" spans="1:7">
      <c r="A61" s="12"/>
      <c r="G61" s="13"/>
    </row>
    <row r="62" spans="1:7">
      <c r="A62" s="12"/>
      <c r="G62" s="13"/>
    </row>
    <row r="63" spans="1:7">
      <c r="A63" s="12"/>
      <c r="G63" s="13"/>
    </row>
    <row r="64" spans="1:7">
      <c r="A64" s="12"/>
      <c r="G64" s="13"/>
    </row>
    <row r="65" spans="1:7">
      <c r="A65" s="12"/>
      <c r="G65" s="13"/>
    </row>
    <row r="66" spans="1:7">
      <c r="A66" s="12"/>
      <c r="G66" s="13"/>
    </row>
    <row r="67" spans="1:7">
      <c r="A67" s="12"/>
      <c r="G67" s="13"/>
    </row>
    <row r="68" spans="1:7">
      <c r="A68" s="12"/>
      <c r="G68" s="13"/>
    </row>
    <row r="69" spans="1:7">
      <c r="A69" s="12"/>
      <c r="G69" s="13"/>
    </row>
    <row r="70" spans="1:7">
      <c r="A70" s="12"/>
      <c r="G70" s="13"/>
    </row>
    <row r="71" spans="1:7">
      <c r="A71" s="12"/>
      <c r="G71" s="13"/>
    </row>
    <row r="72" spans="1:7">
      <c r="A72" s="12"/>
      <c r="G72" s="13"/>
    </row>
    <row r="73" spans="1:7">
      <c r="A73" s="12"/>
      <c r="G73" s="13"/>
    </row>
    <row r="74" spans="1:7">
      <c r="A74" s="12"/>
      <c r="G74" s="13"/>
    </row>
    <row r="75" spans="1:7">
      <c r="A75" s="12"/>
      <c r="G75" s="13"/>
    </row>
    <row r="76" spans="1:7">
      <c r="A76" s="12"/>
      <c r="G76" s="13"/>
    </row>
    <row r="77" spans="1:7">
      <c r="A77" s="12"/>
      <c r="G77" s="13"/>
    </row>
    <row r="78" spans="1:7">
      <c r="A78" s="12"/>
      <c r="G78" s="13"/>
    </row>
    <row r="79" spans="1:7">
      <c r="A79" s="12"/>
      <c r="G79" s="13"/>
    </row>
    <row r="80" spans="1:7">
      <c r="A80" s="12"/>
      <c r="G80" s="13"/>
    </row>
    <row r="81" spans="1:7">
      <c r="A81" s="12"/>
      <c r="G81" s="13"/>
    </row>
    <row r="82" spans="1:7">
      <c r="A82" s="12"/>
      <c r="G82" s="13"/>
    </row>
    <row r="83" spans="1:7">
      <c r="A83" s="12"/>
      <c r="G83" s="13"/>
    </row>
    <row r="84" spans="1:7">
      <c r="A84" s="12"/>
      <c r="G84" s="13"/>
    </row>
    <row r="85" spans="1:7">
      <c r="A85" s="12"/>
      <c r="G85" s="13"/>
    </row>
    <row r="86" spans="1:7">
      <c r="A86" s="12"/>
      <c r="G86" s="13"/>
    </row>
    <row r="87" spans="1:7">
      <c r="A87" s="12"/>
      <c r="G87" s="13"/>
    </row>
    <row r="88" spans="1:7">
      <c r="A88" s="12"/>
      <c r="G88" s="13"/>
    </row>
    <row r="89" spans="1:7">
      <c r="A89" s="12"/>
      <c r="G89" s="13"/>
    </row>
    <row r="90" spans="1:7">
      <c r="A90" s="12"/>
      <c r="G90" s="13"/>
    </row>
    <row r="91" spans="1:7">
      <c r="A91" s="12"/>
      <c r="G91" s="13"/>
    </row>
    <row r="92" spans="1:7">
      <c r="A92" s="12"/>
      <c r="G92" s="13"/>
    </row>
    <row r="93" spans="1:7">
      <c r="A93" s="12"/>
      <c r="G93" s="13"/>
    </row>
    <row r="94" spans="1:7">
      <c r="A94" s="12"/>
      <c r="G94" s="13"/>
    </row>
    <row r="95" spans="1:7">
      <c r="A95" s="12"/>
      <c r="G95" s="13"/>
    </row>
    <row r="96" spans="1:7">
      <c r="A96" s="12"/>
      <c r="G96" s="13"/>
    </row>
    <row r="97" spans="1:7">
      <c r="A97" s="12"/>
      <c r="G97" s="13"/>
    </row>
    <row r="98" spans="1:7">
      <c r="A98" s="12"/>
      <c r="G98" s="13"/>
    </row>
    <row r="99" spans="1:7">
      <c r="A99" s="12"/>
      <c r="G99" s="13"/>
    </row>
    <row r="100" spans="1:7">
      <c r="A100" s="12"/>
      <c r="G100" s="13"/>
    </row>
    <row r="101" spans="1:7">
      <c r="A101" s="12"/>
      <c r="G101" s="13"/>
    </row>
    <row r="102" spans="1:7">
      <c r="A102" s="12"/>
      <c r="G102" s="13"/>
    </row>
    <row r="103" spans="1:7">
      <c r="A103" s="12"/>
      <c r="G103" s="13"/>
    </row>
    <row r="104" spans="1:7">
      <c r="A104" s="12"/>
      <c r="G104" s="13"/>
    </row>
    <row r="105" spans="1:7">
      <c r="A105" s="12"/>
      <c r="G105" s="13"/>
    </row>
    <row r="106" spans="1:7">
      <c r="A106" s="12"/>
      <c r="G106" s="13"/>
    </row>
    <row r="107" spans="1:7">
      <c r="A107" s="12"/>
      <c r="G107" s="13"/>
    </row>
    <row r="108" spans="1:7">
      <c r="A108" s="12"/>
      <c r="G108" s="13"/>
    </row>
    <row r="109" spans="1:7">
      <c r="A109" s="12"/>
      <c r="G109" s="13"/>
    </row>
    <row r="110" spans="1:7">
      <c r="A110" s="12"/>
      <c r="G110" s="13"/>
    </row>
    <row r="111" spans="1:7">
      <c r="A111" s="12"/>
      <c r="G111" s="13"/>
    </row>
    <row r="112" spans="1:7">
      <c r="A112" s="12"/>
      <c r="G112" s="13"/>
    </row>
    <row r="113" spans="1:7">
      <c r="A113" s="12"/>
      <c r="G113" s="13"/>
    </row>
    <row r="114" spans="1:7">
      <c r="A114" s="12"/>
      <c r="G114" s="13"/>
    </row>
    <row r="115" spans="1:7">
      <c r="A115" s="12"/>
      <c r="G115" s="13"/>
    </row>
    <row r="116" spans="1:7">
      <c r="A116" s="12"/>
      <c r="G116" s="13"/>
    </row>
    <row r="117" spans="1:7">
      <c r="A117" s="12"/>
      <c r="G117" s="13"/>
    </row>
    <row r="118" spans="1:7">
      <c r="A118" s="12"/>
      <c r="G118" s="13"/>
    </row>
    <row r="119" spans="1:7">
      <c r="A119" s="12"/>
      <c r="G119" s="13"/>
    </row>
    <row r="120" spans="1:7">
      <c r="A120" s="12"/>
      <c r="G120" s="13"/>
    </row>
    <row r="121" spans="1:7">
      <c r="A121" s="12"/>
      <c r="G121" s="13"/>
    </row>
    <row r="122" spans="1:7">
      <c r="A122" s="12"/>
      <c r="G122" s="13"/>
    </row>
    <row r="123" spans="1:7">
      <c r="A123" s="12"/>
      <c r="G123" s="13"/>
    </row>
    <row r="124" spans="1:7">
      <c r="A124" s="12"/>
      <c r="G124" s="13"/>
    </row>
    <row r="125" spans="1:7">
      <c r="A125" s="12"/>
      <c r="G125" s="13"/>
    </row>
    <row r="126" spans="1:7">
      <c r="A126" s="12"/>
      <c r="G126" s="13"/>
    </row>
    <row r="127" spans="1:7">
      <c r="A127" s="12"/>
      <c r="G127" s="13"/>
    </row>
    <row r="128" spans="1:7">
      <c r="A128" s="12"/>
      <c r="G128" s="13"/>
    </row>
    <row r="129" spans="1:7">
      <c r="A129" s="12"/>
      <c r="G129" s="13"/>
    </row>
    <row r="130" spans="1:7">
      <c r="A130" s="12"/>
      <c r="G130" s="13"/>
    </row>
    <row r="131" spans="1:7">
      <c r="A131" s="12"/>
      <c r="G131" s="13"/>
    </row>
    <row r="132" spans="1:7">
      <c r="A132" s="12"/>
      <c r="G132" s="13"/>
    </row>
    <row r="133" spans="1:7">
      <c r="A133" s="12"/>
      <c r="G133" s="13"/>
    </row>
    <row r="134" spans="1:7">
      <c r="A134" s="12"/>
      <c r="G134" s="13"/>
    </row>
    <row r="135" spans="1:7">
      <c r="A135" s="12"/>
      <c r="G135" s="13"/>
    </row>
    <row r="136" spans="1:7">
      <c r="A136" s="12"/>
      <c r="G136" s="13"/>
    </row>
    <row r="137" spans="1:7">
      <c r="A137" s="12"/>
      <c r="G137" s="13"/>
    </row>
    <row r="138" spans="1:7">
      <c r="A138" s="12"/>
      <c r="G138" s="13"/>
    </row>
    <row r="139" spans="1:7">
      <c r="A139" s="12"/>
      <c r="G139" s="13"/>
    </row>
    <row r="140" spans="1:7">
      <c r="A140" s="12"/>
      <c r="G140" s="13"/>
    </row>
    <row r="141" spans="1:7">
      <c r="A141" s="12"/>
      <c r="G141" s="13"/>
    </row>
    <row r="142" spans="1:7">
      <c r="A142" s="12"/>
      <c r="G142" s="13"/>
    </row>
    <row r="143" spans="1:7">
      <c r="A143" s="12"/>
      <c r="G143" s="13"/>
    </row>
    <row r="144" spans="1:7">
      <c r="A144" s="12"/>
      <c r="G144" s="13"/>
    </row>
    <row r="145" spans="1:7">
      <c r="A145" s="12"/>
      <c r="G145" s="13"/>
    </row>
    <row r="146" spans="1:7">
      <c r="A146" s="12"/>
      <c r="G146" s="13"/>
    </row>
    <row r="147" spans="1:7">
      <c r="A147" s="12"/>
      <c r="G147" s="13"/>
    </row>
    <row r="148" spans="1:7">
      <c r="A148" s="12"/>
      <c r="G148" s="13"/>
    </row>
    <row r="149" spans="1:7">
      <c r="A149" s="12"/>
      <c r="G149" s="13"/>
    </row>
    <row r="150" spans="1:7">
      <c r="A150" s="12"/>
      <c r="G150" s="13"/>
    </row>
    <row r="151" spans="1:7">
      <c r="A151" s="12"/>
      <c r="G151" s="13"/>
    </row>
    <row r="152" spans="1:7">
      <c r="A152" s="12"/>
      <c r="G152" s="13"/>
    </row>
    <row r="153" spans="1:7">
      <c r="A153" s="12"/>
      <c r="G153" s="13"/>
    </row>
    <row r="154" spans="1:7">
      <c r="A154" s="12"/>
      <c r="G154" s="13"/>
    </row>
    <row r="155" spans="1:7">
      <c r="A155" s="12"/>
      <c r="G155" s="13"/>
    </row>
    <row r="156" spans="1:7">
      <c r="A156" s="12"/>
      <c r="G156" s="13"/>
    </row>
    <row r="157" spans="1:7">
      <c r="A157" s="12"/>
      <c r="G157" s="13"/>
    </row>
    <row r="158" spans="1:7">
      <c r="A158" s="12"/>
      <c r="G158" s="13"/>
    </row>
    <row r="159" spans="1:7">
      <c r="A159" s="12"/>
      <c r="G159" s="13"/>
    </row>
    <row r="160" spans="1:7">
      <c r="A160" s="12"/>
      <c r="G160" s="13"/>
    </row>
    <row r="161" spans="1:7">
      <c r="A161" s="12"/>
      <c r="G161" s="13"/>
    </row>
    <row r="162" spans="1:7">
      <c r="A162" s="12"/>
      <c r="G162" s="13"/>
    </row>
    <row r="163" spans="1:7">
      <c r="A163" s="12"/>
      <c r="G163" s="13"/>
    </row>
    <row r="164" spans="1:7">
      <c r="A164" s="12"/>
      <c r="G164" s="13"/>
    </row>
    <row r="165" spans="1:7">
      <c r="A165" s="12"/>
      <c r="G165" s="13"/>
    </row>
    <row r="166" spans="1:7">
      <c r="A166" s="12"/>
      <c r="G166" s="13"/>
    </row>
    <row r="167" spans="1:7">
      <c r="A167" s="12"/>
      <c r="G167" s="13"/>
    </row>
    <row r="168" spans="1:7">
      <c r="A168" s="12"/>
      <c r="G168" s="13"/>
    </row>
    <row r="169" spans="1:7">
      <c r="A169" s="12"/>
      <c r="G169" s="13"/>
    </row>
    <row r="170" spans="1:7">
      <c r="A170" s="12"/>
      <c r="G170" s="13"/>
    </row>
    <row r="171" spans="1:7">
      <c r="A171" s="12"/>
      <c r="G171" s="13"/>
    </row>
    <row r="172" spans="1:7">
      <c r="A172" s="12"/>
      <c r="G172" s="13"/>
    </row>
    <row r="173" spans="1:7">
      <c r="A173" s="12"/>
      <c r="G173" s="13"/>
    </row>
    <row r="174" spans="1:7">
      <c r="A174" s="12"/>
      <c r="G174" s="13"/>
    </row>
    <row r="175" spans="1:7">
      <c r="A175" s="12"/>
      <c r="G175" s="13"/>
    </row>
    <row r="176" spans="1:7">
      <c r="A176" s="12"/>
      <c r="G176" s="13"/>
    </row>
    <row r="177" spans="1:7">
      <c r="A177" s="12"/>
      <c r="G177" s="13"/>
    </row>
    <row r="178" spans="1:7">
      <c r="A178" s="12"/>
      <c r="G178" s="13"/>
    </row>
    <row r="179" spans="1:7">
      <c r="A179" s="12"/>
      <c r="G179" s="13"/>
    </row>
    <row r="180" spans="1:7">
      <c r="A180" s="12"/>
      <c r="G180" s="13"/>
    </row>
    <row r="181" spans="1:7">
      <c r="A181" s="12"/>
      <c r="G181" s="13"/>
    </row>
    <row r="182" spans="1:7">
      <c r="A182" s="12"/>
      <c r="G182" s="13"/>
    </row>
    <row r="183" spans="1:7">
      <c r="A183" s="12"/>
      <c r="G183" s="13"/>
    </row>
    <row r="184" spans="1:7">
      <c r="A184" s="12"/>
      <c r="G184" s="13"/>
    </row>
    <row r="185" spans="1:7">
      <c r="A185" s="12"/>
      <c r="G185" s="13"/>
    </row>
    <row r="186" spans="1:7">
      <c r="A186" s="12"/>
      <c r="G186" s="13"/>
    </row>
    <row r="187" spans="1:7">
      <c r="A187" s="12"/>
      <c r="G187" s="13"/>
    </row>
    <row r="188" spans="1:7">
      <c r="A188" s="12"/>
      <c r="G188" s="13"/>
    </row>
    <row r="189" spans="1:7">
      <c r="A189" s="12"/>
      <c r="G189" s="13"/>
    </row>
    <row r="190" spans="1:7">
      <c r="A190" s="12"/>
      <c r="G190" s="13"/>
    </row>
    <row r="191" spans="1:7">
      <c r="A191" s="12"/>
      <c r="G191" s="13"/>
    </row>
    <row r="192" spans="1:7">
      <c r="A192" s="12"/>
      <c r="G192" s="13"/>
    </row>
    <row r="193" spans="1:7">
      <c r="A193" s="12"/>
      <c r="G193" s="13"/>
    </row>
    <row r="194" spans="1:7">
      <c r="A194" s="12"/>
      <c r="G194" s="13"/>
    </row>
    <row r="195" spans="1:7">
      <c r="A195" s="12"/>
      <c r="G195" s="13"/>
    </row>
    <row r="196" spans="1:7">
      <c r="A196" s="12"/>
      <c r="G196" s="13"/>
    </row>
    <row r="197" spans="1:7">
      <c r="A197" s="12"/>
      <c r="G197" s="13"/>
    </row>
    <row r="198" spans="1:7">
      <c r="A198" s="12"/>
      <c r="G198" s="13"/>
    </row>
    <row r="199" spans="1:7">
      <c r="A199" s="12"/>
      <c r="G199" s="13"/>
    </row>
    <row r="200" spans="1:7">
      <c r="A200" s="12"/>
      <c r="G200" s="13"/>
    </row>
    <row r="201" spans="1:7">
      <c r="A201" s="12"/>
      <c r="G201" s="13"/>
    </row>
    <row r="202" spans="1:7">
      <c r="A202" s="12"/>
      <c r="G202" s="13"/>
    </row>
    <row r="203" spans="1:7">
      <c r="A203" s="12"/>
      <c r="G203" s="13"/>
    </row>
    <row r="204" spans="1:7">
      <c r="A204" s="12"/>
      <c r="G204" s="13"/>
    </row>
    <row r="205" spans="1:7">
      <c r="A205" s="12"/>
      <c r="G205" s="13"/>
    </row>
    <row r="206" spans="1:7">
      <c r="A206" s="12"/>
      <c r="G206" s="13"/>
    </row>
    <row r="207" spans="1:7">
      <c r="A207" s="12"/>
      <c r="G207" s="13"/>
    </row>
    <row r="208" spans="1:7">
      <c r="A208" s="12"/>
      <c r="G208" s="13"/>
    </row>
    <row r="209" spans="1:7">
      <c r="A209" s="12"/>
      <c r="G209" s="13"/>
    </row>
    <row r="210" spans="1:7">
      <c r="A210" s="12"/>
      <c r="G210" s="13"/>
    </row>
    <row r="211" spans="1:7">
      <c r="A211" s="12"/>
      <c r="G211" s="13"/>
    </row>
    <row r="212" spans="1:7">
      <c r="A212" s="12"/>
      <c r="G212" s="13"/>
    </row>
    <row r="213" spans="1:7">
      <c r="A213" s="12"/>
      <c r="G213" s="13"/>
    </row>
    <row r="214" spans="1:7">
      <c r="A214" s="12"/>
      <c r="G214" s="13"/>
    </row>
    <row r="215" spans="1:7">
      <c r="A215" s="12"/>
      <c r="G215" s="13"/>
    </row>
    <row r="216" spans="1:7">
      <c r="A216" s="12"/>
      <c r="G216" s="13"/>
    </row>
    <row r="217" spans="1:7">
      <c r="A217" s="12"/>
      <c r="G217" s="13"/>
    </row>
    <row r="218" spans="1:7">
      <c r="A218" s="12"/>
      <c r="G218" s="13"/>
    </row>
    <row r="219" spans="1:7">
      <c r="A219" s="12"/>
      <c r="G219" s="13"/>
    </row>
    <row r="220" spans="1:7">
      <c r="A220" s="12"/>
      <c r="G220" s="13"/>
    </row>
    <row r="221" spans="1:7">
      <c r="A221" s="12"/>
      <c r="G221" s="13"/>
    </row>
    <row r="222" spans="1:7">
      <c r="A222" s="12"/>
      <c r="G222" s="13"/>
    </row>
    <row r="223" spans="1:7">
      <c r="A223" s="12"/>
      <c r="G223" s="13"/>
    </row>
    <row r="224" spans="1:7">
      <c r="A224" s="12"/>
      <c r="G224" s="13"/>
    </row>
    <row r="225" spans="1:7">
      <c r="A225" s="12"/>
      <c r="G225" s="13"/>
    </row>
    <row r="226" spans="1:7">
      <c r="A226" s="12"/>
      <c r="G226" s="13"/>
    </row>
    <row r="227" spans="1:7">
      <c r="A227" s="12"/>
      <c r="G227" s="13"/>
    </row>
    <row r="228" spans="1:7">
      <c r="A228" s="12"/>
      <c r="G228" s="13"/>
    </row>
    <row r="229" spans="1:7">
      <c r="A229" s="12"/>
      <c r="G229" s="13"/>
    </row>
    <row r="230" spans="1:7">
      <c r="A230" s="12"/>
      <c r="G230" s="13"/>
    </row>
    <row r="231" spans="1:7">
      <c r="A231" s="12"/>
      <c r="G231" s="13"/>
    </row>
    <row r="232" spans="1:7">
      <c r="A232" s="12"/>
      <c r="G232" s="13"/>
    </row>
    <row r="233" spans="1:7">
      <c r="A233" s="12"/>
      <c r="G233" s="13"/>
    </row>
    <row r="234" spans="1:7">
      <c r="A234" s="12"/>
      <c r="G234" s="13"/>
    </row>
    <row r="235" spans="1:7">
      <c r="A235" s="12"/>
      <c r="G235" s="13"/>
    </row>
    <row r="236" spans="1:7">
      <c r="A236" s="12"/>
      <c r="G236" s="13"/>
    </row>
    <row r="237" spans="1:7">
      <c r="A237" s="12"/>
      <c r="G237" s="13"/>
    </row>
    <row r="238" spans="1:7">
      <c r="A238" s="12"/>
      <c r="G238" s="13"/>
    </row>
    <row r="239" spans="1:7">
      <c r="A239" s="12"/>
      <c r="G239" s="13"/>
    </row>
    <row r="240" spans="1:7">
      <c r="A240" s="12"/>
      <c r="G240" s="13"/>
    </row>
    <row r="241" spans="1:7">
      <c r="A241" s="12"/>
      <c r="G241" s="13"/>
    </row>
    <row r="242" spans="1:7">
      <c r="A242" s="12"/>
      <c r="G242" s="13"/>
    </row>
    <row r="243" spans="1:7">
      <c r="A243" s="12"/>
      <c r="G243" s="13"/>
    </row>
    <row r="244" spans="1:7">
      <c r="A244" s="12"/>
      <c r="G244" s="13"/>
    </row>
    <row r="245" spans="1:7">
      <c r="A245" s="12"/>
      <c r="G245" s="13"/>
    </row>
    <row r="246" spans="1:7">
      <c r="A246" s="12"/>
      <c r="G246" s="13"/>
    </row>
    <row r="247" spans="1:7">
      <c r="A247" s="12"/>
      <c r="G247" s="13"/>
    </row>
    <row r="248" spans="1:7">
      <c r="A248" s="12"/>
      <c r="G248" s="13"/>
    </row>
    <row r="249" spans="1:7">
      <c r="A249" s="12"/>
      <c r="G249" s="13"/>
    </row>
    <row r="250" spans="1:7">
      <c r="A250" s="12"/>
      <c r="G250" s="13"/>
    </row>
    <row r="251" spans="1:7">
      <c r="A251" s="12"/>
      <c r="G251" s="13"/>
    </row>
    <row r="252" spans="1:7">
      <c r="A252" s="12"/>
      <c r="G252" s="13"/>
    </row>
    <row r="253" spans="1:7">
      <c r="A253" s="12"/>
      <c r="G253" s="13"/>
    </row>
    <row r="254" spans="1:7">
      <c r="A254" s="12"/>
      <c r="G254" s="13"/>
    </row>
    <row r="255" spans="1:7">
      <c r="A255" s="12"/>
      <c r="G255" s="13"/>
    </row>
    <row r="256" spans="1:7">
      <c r="A256" s="12"/>
      <c r="G256" s="13"/>
    </row>
    <row r="257" spans="1:7">
      <c r="A257" s="12"/>
      <c r="G257" s="13"/>
    </row>
    <row r="258" spans="1:7">
      <c r="A258" s="12"/>
      <c r="G258" s="13"/>
    </row>
    <row r="259" spans="1:7">
      <c r="A259" s="12"/>
      <c r="G259" s="13"/>
    </row>
    <row r="260" spans="1:7">
      <c r="A260" s="12"/>
      <c r="G260" s="13"/>
    </row>
    <row r="261" spans="1:7">
      <c r="A261" s="12"/>
      <c r="G261" s="13"/>
    </row>
    <row r="262" spans="1:7">
      <c r="A262" s="12"/>
      <c r="G262" s="13"/>
    </row>
    <row r="263" spans="1:7">
      <c r="A263" s="12"/>
      <c r="G263" s="13"/>
    </row>
    <row r="264" spans="1:7">
      <c r="A264" s="12"/>
      <c r="G264" s="13"/>
    </row>
    <row r="265" spans="1:7">
      <c r="A265" s="12"/>
      <c r="G265" s="13"/>
    </row>
    <row r="266" spans="1:7">
      <c r="A266" s="12"/>
      <c r="G266" s="13"/>
    </row>
    <row r="267" spans="1:7">
      <c r="A267" s="12"/>
      <c r="G267" s="13"/>
    </row>
    <row r="268" spans="1:7">
      <c r="A268" s="12"/>
      <c r="G268" s="13"/>
    </row>
    <row r="269" spans="1:7">
      <c r="A269" s="12"/>
      <c r="G269" s="13"/>
    </row>
    <row r="270" spans="1:7">
      <c r="A270" s="12"/>
      <c r="G270" s="13"/>
    </row>
    <row r="271" spans="1:7">
      <c r="A271" s="12"/>
      <c r="G271" s="13"/>
    </row>
    <row r="272" spans="1:7">
      <c r="A272" s="12"/>
      <c r="G272" s="13"/>
    </row>
    <row r="273" spans="1:7">
      <c r="A273" s="12"/>
      <c r="G273" s="13"/>
    </row>
    <row r="274" spans="1:7">
      <c r="A274" s="12"/>
      <c r="G274" s="13"/>
    </row>
    <row r="275" spans="1:7">
      <c r="A275" s="12"/>
      <c r="G275" s="13"/>
    </row>
    <row r="276" spans="1:7">
      <c r="A276" s="12"/>
      <c r="G276" s="13"/>
    </row>
    <row r="277" spans="1:7">
      <c r="A277" s="12"/>
      <c r="G277" s="13"/>
    </row>
    <row r="278" spans="1:7">
      <c r="A278" s="12"/>
      <c r="G278" s="13"/>
    </row>
    <row r="279" spans="1:7">
      <c r="A279" s="12"/>
      <c r="G279" s="13"/>
    </row>
    <row r="280" spans="1:7">
      <c r="A280" s="12"/>
      <c r="G280" s="13"/>
    </row>
    <row r="281" spans="1:7">
      <c r="A281" s="12"/>
      <c r="G281" s="13"/>
    </row>
    <row r="282" spans="1:7">
      <c r="A282" s="12"/>
      <c r="G282" s="13"/>
    </row>
    <row r="283" spans="1:7">
      <c r="A283" s="12"/>
      <c r="G283" s="13"/>
    </row>
    <row r="284" spans="1:7">
      <c r="A284" s="12"/>
      <c r="G284" s="13"/>
    </row>
    <row r="285" spans="1:7">
      <c r="A285" s="12"/>
      <c r="G285" s="13"/>
    </row>
    <row r="286" spans="1:7">
      <c r="A286" s="12"/>
      <c r="G286" s="13"/>
    </row>
    <row r="287" spans="1:7">
      <c r="A287" s="12"/>
      <c r="G287" s="13"/>
    </row>
    <row r="288" spans="1:7">
      <c r="A288" s="12"/>
      <c r="G288" s="13"/>
    </row>
    <row r="289" spans="1:7">
      <c r="A289" s="12"/>
      <c r="G289" s="13"/>
    </row>
    <row r="290" spans="1:7">
      <c r="A290" s="12"/>
      <c r="G290" s="13"/>
    </row>
    <row r="291" spans="1:7">
      <c r="A291" s="12"/>
      <c r="G291" s="13"/>
    </row>
    <row r="292" spans="1:7">
      <c r="A292" s="12"/>
      <c r="G292" s="13"/>
    </row>
    <row r="293" spans="1:7">
      <c r="A293" s="12"/>
      <c r="G293" s="13"/>
    </row>
    <row r="294" spans="1:7">
      <c r="A294" s="12"/>
      <c r="G294" s="13"/>
    </row>
    <row r="295" spans="1:7">
      <c r="A295" s="12"/>
      <c r="G295" s="13"/>
    </row>
    <row r="296" spans="1:7">
      <c r="A296" s="12"/>
      <c r="G296" s="13"/>
    </row>
    <row r="297" spans="1:7">
      <c r="A297" s="12"/>
      <c r="G297" s="13"/>
    </row>
    <row r="298" spans="1:7">
      <c r="A298" s="12"/>
      <c r="G298" s="13"/>
    </row>
    <row r="299" spans="1:7">
      <c r="A299" s="12"/>
      <c r="G299" s="13"/>
    </row>
    <row r="300" spans="1:7">
      <c r="A300" s="12"/>
      <c r="G300" s="13"/>
    </row>
    <row r="301" spans="1:7">
      <c r="A301" s="12"/>
      <c r="G301" s="13"/>
    </row>
    <row r="302" spans="1:7">
      <c r="A302" s="12"/>
      <c r="G302" s="13"/>
    </row>
    <row r="303" spans="1:7">
      <c r="A303" s="12"/>
      <c r="G303" s="13"/>
    </row>
    <row r="304" spans="1:7">
      <c r="A304" s="12"/>
      <c r="G304" s="13"/>
    </row>
    <row r="305" spans="1:7">
      <c r="A305" s="12"/>
      <c r="G305" s="13"/>
    </row>
    <row r="306" spans="1:7">
      <c r="A306" s="12"/>
      <c r="G306" s="13"/>
    </row>
    <row r="307" spans="1:7">
      <c r="A307" s="12"/>
      <c r="G307" s="13"/>
    </row>
    <row r="308" spans="1:7">
      <c r="A308" s="12"/>
      <c r="G308" s="13"/>
    </row>
    <row r="309" spans="1:7">
      <c r="A309" s="12"/>
      <c r="G309" s="13"/>
    </row>
    <row r="310" spans="1:7">
      <c r="A310" s="12"/>
      <c r="G310" s="13"/>
    </row>
    <row r="311" spans="1:7">
      <c r="A311" s="12"/>
      <c r="G311" s="13"/>
    </row>
    <row r="312" spans="1:7">
      <c r="A312" s="12"/>
      <c r="G312" s="13"/>
    </row>
    <row r="313" spans="1:7">
      <c r="A313" s="12"/>
      <c r="G313" s="13"/>
    </row>
    <row r="314" spans="1:7">
      <c r="A314" s="12"/>
      <c r="G314" s="13"/>
    </row>
    <row r="315" spans="1:7">
      <c r="A315" s="12"/>
      <c r="G315" s="13"/>
    </row>
    <row r="316" spans="1:7">
      <c r="A316" s="12"/>
      <c r="G316" s="13"/>
    </row>
    <row r="317" spans="1:7">
      <c r="A317" s="12"/>
      <c r="G317" s="13"/>
    </row>
    <row r="318" spans="1:7">
      <c r="A318" s="12"/>
      <c r="G318" s="13"/>
    </row>
    <row r="319" spans="1:7">
      <c r="A319" s="12"/>
      <c r="G319" s="13"/>
    </row>
    <row r="320" spans="1:7">
      <c r="A320" s="12"/>
      <c r="G320" s="13"/>
    </row>
    <row r="321" spans="1:7">
      <c r="A321" s="12"/>
      <c r="G321" s="13"/>
    </row>
    <row r="322" spans="1:7">
      <c r="A322" s="12"/>
      <c r="G322" s="13"/>
    </row>
    <row r="323" spans="1:7">
      <c r="A323" s="12"/>
      <c r="G323" s="13"/>
    </row>
    <row r="324" spans="1:7">
      <c r="A324" s="12"/>
      <c r="G324" s="13"/>
    </row>
    <row r="325" spans="1:7">
      <c r="A325" s="12"/>
      <c r="G325" s="13"/>
    </row>
    <row r="326" spans="1:7">
      <c r="A326" s="12"/>
      <c r="G326" s="13"/>
    </row>
    <row r="327" spans="1:7">
      <c r="A327" s="12"/>
      <c r="G327" s="13"/>
    </row>
    <row r="328" spans="1:7">
      <c r="A328" s="12"/>
      <c r="G328" s="13"/>
    </row>
    <row r="329" spans="1:7">
      <c r="A329" s="12"/>
      <c r="G329" s="13"/>
    </row>
    <row r="330" spans="1:7">
      <c r="A330" s="12"/>
      <c r="G330" s="13"/>
    </row>
    <row r="331" spans="1:7">
      <c r="A331" s="12"/>
      <c r="G331" s="13"/>
    </row>
    <row r="332" spans="1:7">
      <c r="A332" s="12"/>
      <c r="G332" s="13"/>
    </row>
    <row r="333" spans="1:7">
      <c r="A333" s="12"/>
      <c r="G333" s="13"/>
    </row>
    <row r="334" spans="1:7">
      <c r="A334" s="12"/>
      <c r="G334" s="13"/>
    </row>
    <row r="335" spans="1:7">
      <c r="A335" s="12"/>
      <c r="G335" s="13"/>
    </row>
    <row r="336" spans="1:7">
      <c r="A336" s="12"/>
      <c r="G336" s="13"/>
    </row>
    <row r="337" spans="1:7">
      <c r="A337" s="12"/>
      <c r="G337" s="13"/>
    </row>
    <row r="338" spans="1:7">
      <c r="A338" s="12"/>
      <c r="G338" s="13"/>
    </row>
    <row r="339" spans="1:7">
      <c r="A339" s="12"/>
      <c r="G339" s="13"/>
    </row>
    <row r="340" spans="1:7">
      <c r="A340" s="12"/>
      <c r="G340" s="13"/>
    </row>
    <row r="341" spans="1:7">
      <c r="A341" s="12"/>
      <c r="G341" s="13"/>
    </row>
    <row r="342" spans="1:7">
      <c r="A342" s="12"/>
      <c r="G342" s="13"/>
    </row>
    <row r="343" spans="1:7">
      <c r="A343" s="12"/>
      <c r="G343" s="13"/>
    </row>
    <row r="344" spans="1:7">
      <c r="A344" s="12"/>
      <c r="G344" s="13"/>
    </row>
    <row r="345" spans="1:7">
      <c r="A345" s="12"/>
      <c r="G345" s="13"/>
    </row>
    <row r="346" spans="1:7">
      <c r="A346" s="12"/>
      <c r="G346" s="13"/>
    </row>
    <row r="347" spans="1:7">
      <c r="A347" s="12"/>
      <c r="G347" s="13"/>
    </row>
    <row r="348" spans="1:7">
      <c r="A348" s="12"/>
      <c r="G348" s="13"/>
    </row>
    <row r="349" spans="1:7">
      <c r="A349" s="12"/>
      <c r="G349" s="13"/>
    </row>
    <row r="350" spans="1:7">
      <c r="A350" s="12"/>
      <c r="G350" s="13"/>
    </row>
    <row r="351" spans="1:7">
      <c r="A351" s="12"/>
      <c r="G351" s="13"/>
    </row>
    <row r="352" spans="1:7">
      <c r="A352" s="12"/>
      <c r="G352" s="13"/>
    </row>
    <row r="353" spans="1:7">
      <c r="A353" s="12"/>
      <c r="G353" s="13"/>
    </row>
    <row r="354" spans="1:7">
      <c r="A354" s="12"/>
      <c r="G354" s="13"/>
    </row>
    <row r="355" spans="1:7">
      <c r="A355" s="12"/>
      <c r="G355" s="13"/>
    </row>
    <row r="356" spans="1:7">
      <c r="A356" s="12"/>
      <c r="G356" s="13"/>
    </row>
    <row r="357" spans="1:7">
      <c r="A357" s="12"/>
      <c r="G357" s="13"/>
    </row>
    <row r="358" spans="1:7">
      <c r="A358" s="12"/>
      <c r="G358" s="13"/>
    </row>
    <row r="359" spans="1:7">
      <c r="A359" s="12"/>
      <c r="G359" s="13"/>
    </row>
    <row r="360" spans="1:7">
      <c r="A360" s="12"/>
      <c r="G360" s="13"/>
    </row>
    <row r="361" spans="1:7">
      <c r="A361" s="12"/>
      <c r="G361" s="13"/>
    </row>
    <row r="362" spans="1:7">
      <c r="A362" s="12"/>
      <c r="G362" s="13"/>
    </row>
    <row r="363" spans="1:7">
      <c r="A363" s="12"/>
      <c r="G363" s="13"/>
    </row>
    <row r="364" spans="1:7">
      <c r="A364" s="12"/>
      <c r="G364" s="13"/>
    </row>
    <row r="365" spans="1:7">
      <c r="A365" s="12"/>
      <c r="G365" s="13"/>
    </row>
    <row r="366" spans="1:7">
      <c r="A366" s="12"/>
      <c r="G366" s="13"/>
    </row>
    <row r="367" spans="1:7">
      <c r="A367" s="12"/>
      <c r="G367" s="13"/>
    </row>
    <row r="368" spans="1:7">
      <c r="A368" s="12"/>
      <c r="G368" s="13"/>
    </row>
    <row r="369" spans="1:7">
      <c r="A369" s="12"/>
      <c r="G369" s="13"/>
    </row>
    <row r="370" spans="1:7">
      <c r="A370" s="12"/>
      <c r="G370" s="13"/>
    </row>
    <row r="371" spans="1:7">
      <c r="A371" s="12"/>
      <c r="G371" s="13"/>
    </row>
    <row r="372" spans="1:7">
      <c r="A372" s="12"/>
      <c r="G372" s="13"/>
    </row>
    <row r="373" spans="1:7">
      <c r="A373" s="12"/>
      <c r="G373" s="13"/>
    </row>
    <row r="374" spans="1:7">
      <c r="A374" s="12"/>
      <c r="G374" s="13"/>
    </row>
    <row r="375" spans="1:7">
      <c r="A375" s="12"/>
      <c r="G375" s="13"/>
    </row>
    <row r="376" spans="1:7">
      <c r="A376" s="12"/>
      <c r="G376" s="13"/>
    </row>
    <row r="377" spans="1:7">
      <c r="A377" s="12"/>
      <c r="G377" s="13"/>
    </row>
    <row r="378" spans="1:7">
      <c r="A378" s="12"/>
      <c r="G378" s="13"/>
    </row>
    <row r="379" spans="1:7">
      <c r="A379" s="12"/>
      <c r="G379" s="13"/>
    </row>
    <row r="380" spans="1:7">
      <c r="A380" s="12"/>
      <c r="G380" s="13"/>
    </row>
    <row r="381" spans="1:7">
      <c r="A381" s="12"/>
      <c r="G381" s="13"/>
    </row>
    <row r="382" spans="1:7">
      <c r="A382" s="12"/>
      <c r="G382" s="13"/>
    </row>
    <row r="383" spans="1:7">
      <c r="A383" s="12"/>
      <c r="G383" s="13"/>
    </row>
    <row r="384" spans="1:7">
      <c r="A384" s="12"/>
      <c r="G384" s="13"/>
    </row>
    <row r="385" spans="1:7">
      <c r="A385" s="12"/>
      <c r="G385" s="13"/>
    </row>
    <row r="386" spans="1:7">
      <c r="A386" s="12"/>
      <c r="G386" s="13"/>
    </row>
    <row r="387" spans="1:7">
      <c r="A387" s="12"/>
      <c r="G387" s="13"/>
    </row>
    <row r="388" spans="1:7">
      <c r="A388" s="12"/>
      <c r="G388" s="13"/>
    </row>
    <row r="389" spans="1:7">
      <c r="A389" s="12"/>
      <c r="G389" s="13"/>
    </row>
    <row r="390" spans="1:7">
      <c r="A390" s="12"/>
      <c r="G390" s="13"/>
    </row>
    <row r="391" spans="1:7">
      <c r="A391" s="12"/>
      <c r="G391" s="13"/>
    </row>
    <row r="392" spans="1:7">
      <c r="A392" s="12"/>
      <c r="G392" s="13"/>
    </row>
    <row r="393" spans="1:7">
      <c r="A393" s="12"/>
      <c r="G393" s="13"/>
    </row>
    <row r="394" spans="1:7">
      <c r="A394" s="12"/>
      <c r="G394" s="13"/>
    </row>
    <row r="395" spans="1:7">
      <c r="A395" s="12"/>
      <c r="G395" s="13"/>
    </row>
    <row r="396" spans="1:7">
      <c r="A396" s="12"/>
      <c r="G396" s="13"/>
    </row>
    <row r="397" spans="1:7">
      <c r="A397" s="12"/>
      <c r="G397" s="13"/>
    </row>
    <row r="398" spans="1:7">
      <c r="A398" s="12"/>
      <c r="G398" s="13"/>
    </row>
    <row r="399" spans="1:7">
      <c r="A399" s="12"/>
      <c r="G399" s="13"/>
    </row>
    <row r="400" spans="1:7">
      <c r="A400" s="12"/>
      <c r="G400" s="13"/>
    </row>
    <row r="401" spans="1:7">
      <c r="A401" s="12"/>
      <c r="G401" s="13"/>
    </row>
    <row r="402" spans="1:7">
      <c r="A402" s="12"/>
      <c r="G402" s="13"/>
    </row>
    <row r="403" spans="1:7">
      <c r="A403" s="12"/>
      <c r="G403" s="13"/>
    </row>
    <row r="404" spans="1:7">
      <c r="A404" s="12"/>
      <c r="G404" s="13"/>
    </row>
    <row r="405" spans="1:7">
      <c r="A405" s="12"/>
      <c r="G405" s="13"/>
    </row>
    <row r="406" spans="1:7">
      <c r="A406" s="12"/>
      <c r="G406" s="13"/>
    </row>
    <row r="407" spans="1:7">
      <c r="A407" s="12"/>
      <c r="G407" s="13"/>
    </row>
    <row r="408" spans="1:7">
      <c r="A408" s="12"/>
      <c r="G408" s="13"/>
    </row>
    <row r="409" spans="1:7">
      <c r="A409" s="12"/>
      <c r="G409" s="13"/>
    </row>
    <row r="410" spans="1:7">
      <c r="A410" s="12"/>
      <c r="G410" s="13"/>
    </row>
    <row r="411" spans="1:7">
      <c r="A411" s="12"/>
      <c r="G411" s="13"/>
    </row>
    <row r="412" spans="1:7">
      <c r="A412" s="12"/>
      <c r="G412" s="13"/>
    </row>
    <row r="413" spans="1:7">
      <c r="A413" s="12"/>
      <c r="G413" s="13"/>
    </row>
    <row r="414" spans="1:7">
      <c r="A414" s="12"/>
      <c r="G414" s="13"/>
    </row>
    <row r="415" spans="1:7">
      <c r="A415" s="12"/>
      <c r="G415" s="13"/>
    </row>
    <row r="416" spans="1:7">
      <c r="A416" s="12"/>
      <c r="G416" s="13"/>
    </row>
    <row r="417" spans="1:7">
      <c r="A417" s="12"/>
      <c r="G417" s="13"/>
    </row>
    <row r="418" spans="1:7">
      <c r="A418" s="12"/>
      <c r="G418" s="13"/>
    </row>
    <row r="419" spans="1:7">
      <c r="A419" s="12"/>
      <c r="G419" s="13"/>
    </row>
    <row r="420" spans="1:7">
      <c r="A420" s="12"/>
      <c r="G420" s="13"/>
    </row>
    <row r="421" spans="1:7">
      <c r="A421" s="12"/>
      <c r="G421" s="13"/>
    </row>
    <row r="422" spans="1:7">
      <c r="A422" s="12"/>
      <c r="G422" s="13"/>
    </row>
    <row r="423" spans="1:7">
      <c r="A423" s="12"/>
      <c r="G423" s="13"/>
    </row>
    <row r="424" spans="1:7">
      <c r="A424" s="12"/>
      <c r="G424" s="13"/>
    </row>
    <row r="425" spans="1:7">
      <c r="A425" s="12"/>
      <c r="G425" s="13"/>
    </row>
    <row r="426" spans="1:7">
      <c r="A426" s="12"/>
      <c r="G426" s="13"/>
    </row>
    <row r="427" spans="1:7">
      <c r="A427" s="12"/>
      <c r="G427" s="13"/>
    </row>
    <row r="428" spans="1:7">
      <c r="A428" s="12"/>
      <c r="G428" s="13"/>
    </row>
    <row r="429" spans="1:7">
      <c r="A429" s="12"/>
      <c r="G429" s="13"/>
    </row>
    <row r="430" spans="1:7">
      <c r="A430" s="12"/>
      <c r="G430" s="13"/>
    </row>
    <row r="431" spans="1:7">
      <c r="A431" s="12"/>
      <c r="G431" s="13"/>
    </row>
    <row r="432" spans="1:7">
      <c r="A432" s="12"/>
      <c r="G432" s="13"/>
    </row>
    <row r="433" spans="1:7">
      <c r="A433" s="12"/>
      <c r="G433" s="13"/>
    </row>
    <row r="434" spans="1:7">
      <c r="A434" s="12"/>
      <c r="G434" s="13"/>
    </row>
    <row r="435" spans="1:7">
      <c r="A435" s="12"/>
      <c r="G435" s="13"/>
    </row>
    <row r="436" spans="1:7">
      <c r="A436" s="12"/>
      <c r="G436" s="13"/>
    </row>
    <row r="437" spans="1:7">
      <c r="A437" s="12"/>
      <c r="G437" s="13"/>
    </row>
    <row r="438" spans="1:7">
      <c r="A438" s="12"/>
      <c r="G438" s="13"/>
    </row>
    <row r="439" spans="1:7">
      <c r="A439" s="12"/>
      <c r="G439" s="13"/>
    </row>
    <row r="440" spans="1:7">
      <c r="A440" s="12"/>
      <c r="G440" s="13"/>
    </row>
    <row r="441" spans="1:7">
      <c r="A441" s="12"/>
      <c r="G441" s="13"/>
    </row>
    <row r="442" spans="1:7">
      <c r="A442" s="12"/>
      <c r="G442" s="13"/>
    </row>
    <row r="443" spans="1:7">
      <c r="A443" s="12"/>
      <c r="G443" s="13"/>
    </row>
    <row r="444" spans="1:7">
      <c r="A444" s="12"/>
      <c r="G444" s="13"/>
    </row>
    <row r="445" spans="1:7">
      <c r="A445" s="12"/>
      <c r="G445" s="13"/>
    </row>
    <row r="446" spans="1:7">
      <c r="A446" s="12"/>
      <c r="G446" s="13"/>
    </row>
    <row r="447" spans="1:7">
      <c r="A447" s="12"/>
      <c r="G447" s="13"/>
    </row>
    <row r="448" spans="1:7">
      <c r="A448" s="12"/>
      <c r="G448" s="13"/>
    </row>
    <row r="449" spans="1:7">
      <c r="A449" s="12"/>
      <c r="G449" s="13"/>
    </row>
    <row r="450" spans="1:7">
      <c r="A450" s="12"/>
      <c r="G450" s="13"/>
    </row>
    <row r="451" spans="1:7">
      <c r="A451" s="12"/>
      <c r="G451" s="13"/>
    </row>
    <row r="452" spans="1:7">
      <c r="A452" s="12"/>
      <c r="G452" s="13"/>
    </row>
    <row r="453" spans="1:7">
      <c r="A453" s="12"/>
      <c r="G453" s="13"/>
    </row>
    <row r="454" spans="1:7">
      <c r="A454" s="12"/>
      <c r="G454" s="13"/>
    </row>
    <row r="455" spans="1:7">
      <c r="A455" s="12"/>
      <c r="G455" s="13"/>
    </row>
    <row r="456" spans="1:7">
      <c r="A456" s="12"/>
      <c r="G456" s="13"/>
    </row>
    <row r="457" spans="1:7">
      <c r="A457" s="12"/>
      <c r="G457" s="13"/>
    </row>
    <row r="458" spans="1:7">
      <c r="A458" s="12"/>
      <c r="G458" s="13"/>
    </row>
    <row r="459" spans="1:7">
      <c r="A459" s="12"/>
      <c r="G459" s="13"/>
    </row>
    <row r="460" spans="1:7">
      <c r="A460" s="12"/>
      <c r="G460" s="13"/>
    </row>
    <row r="461" spans="1:7">
      <c r="A461" s="12"/>
      <c r="G461" s="13"/>
    </row>
    <row r="462" spans="1:7">
      <c r="A462" s="12"/>
      <c r="G462" s="13"/>
    </row>
    <row r="463" spans="1:7">
      <c r="A463" s="12"/>
      <c r="G463" s="13"/>
    </row>
    <row r="464" spans="1:7">
      <c r="A464" s="12"/>
      <c r="G464" s="13"/>
    </row>
    <row r="465" spans="1:7">
      <c r="A465" s="12"/>
      <c r="G465" s="13"/>
    </row>
    <row r="466" spans="1:7">
      <c r="A466" s="12"/>
      <c r="G466" s="13"/>
    </row>
    <row r="467" spans="1:7">
      <c r="A467" s="12"/>
      <c r="G467" s="13"/>
    </row>
    <row r="468" spans="1:7">
      <c r="A468" s="12"/>
      <c r="G468" s="13"/>
    </row>
    <row r="469" spans="1:7">
      <c r="A469" s="12"/>
      <c r="G469" s="13"/>
    </row>
    <row r="470" spans="1:7">
      <c r="A470" s="12"/>
      <c r="G470" s="13"/>
    </row>
    <row r="471" spans="1:7">
      <c r="A471" s="12"/>
      <c r="G471" s="13"/>
    </row>
    <row r="472" spans="1:7">
      <c r="A472" s="12"/>
      <c r="G472" s="13"/>
    </row>
    <row r="473" spans="1:7">
      <c r="A473" s="12"/>
      <c r="G473" s="13"/>
    </row>
    <row r="474" spans="1:7">
      <c r="A474" s="12"/>
      <c r="G474" s="13"/>
    </row>
    <row r="475" spans="1:7">
      <c r="A475" s="12"/>
      <c r="G475" s="13"/>
    </row>
    <row r="476" spans="1:7">
      <c r="A476" s="12"/>
      <c r="G476" s="13"/>
    </row>
    <row r="477" spans="1:7">
      <c r="A477" s="12"/>
      <c r="G477" s="13"/>
    </row>
    <row r="478" spans="1:7">
      <c r="A478" s="12"/>
      <c r="G478" s="13"/>
    </row>
    <row r="479" spans="1:7">
      <c r="A479" s="12"/>
      <c r="G479" s="13"/>
    </row>
    <row r="480" spans="1:7">
      <c r="A480" s="12"/>
      <c r="G480" s="13"/>
    </row>
    <row r="481" spans="1:7">
      <c r="A481" s="12"/>
      <c r="G481" s="13"/>
    </row>
    <row r="482" spans="1:7">
      <c r="A482" s="12"/>
      <c r="G482" s="13"/>
    </row>
    <row r="483" spans="1:7">
      <c r="A483" s="12"/>
      <c r="G483" s="13"/>
    </row>
    <row r="484" spans="1:7">
      <c r="A484" s="12"/>
      <c r="G484" s="13"/>
    </row>
    <row r="485" spans="1:7">
      <c r="A485" s="12"/>
      <c r="G485" s="13"/>
    </row>
    <row r="486" spans="1:7">
      <c r="A486" s="12"/>
      <c r="G486" s="13"/>
    </row>
    <row r="487" spans="1:7">
      <c r="A487" s="12"/>
      <c r="G487" s="13"/>
    </row>
    <row r="488" spans="1:7">
      <c r="A488" s="12"/>
      <c r="G488" s="13"/>
    </row>
    <row r="489" spans="1:7">
      <c r="A489" s="12"/>
      <c r="G489" s="13"/>
    </row>
    <row r="490" spans="1:7">
      <c r="A490" s="12"/>
      <c r="G490" s="13"/>
    </row>
    <row r="491" spans="1:7">
      <c r="A491" s="12"/>
      <c r="G491" s="13"/>
    </row>
    <row r="492" spans="1:7">
      <c r="A492" s="12"/>
      <c r="G492" s="13"/>
    </row>
    <row r="493" spans="1:7">
      <c r="A493" s="12"/>
      <c r="G493" s="13"/>
    </row>
    <row r="494" spans="1:7">
      <c r="A494" s="12"/>
      <c r="G494" s="13"/>
    </row>
    <row r="495" spans="1:7">
      <c r="A495" s="12"/>
      <c r="G495" s="13"/>
    </row>
    <row r="496" spans="1:7">
      <c r="A496" s="12"/>
      <c r="G496" s="13"/>
    </row>
    <row r="497" spans="1:7">
      <c r="A497" s="12"/>
      <c r="G497" s="13"/>
    </row>
    <row r="498" spans="1:7">
      <c r="A498" s="12"/>
      <c r="G498" s="13"/>
    </row>
    <row r="499" spans="1:7">
      <c r="A499" s="12"/>
      <c r="G499" s="13"/>
    </row>
    <row r="500" spans="1:7">
      <c r="A500" s="12"/>
      <c r="G500" s="13"/>
    </row>
  </sheetData>
  <mergeCells count="1">
    <mergeCell ref="A1:L1"/>
  </mergeCells>
  <conditionalFormatting sqref="I4:I500">
    <cfRule type="expression" dxfId="6" priority="1">
      <formula>I4="P1"</formula>
    </cfRule>
  </conditionalFormatting>
  <conditionalFormatting sqref="J4:J500">
    <cfRule type="expression" dxfId="5" priority="2">
      <formula>J4="No"</formula>
    </cfRule>
  </conditionalFormatting>
  <dataValidations count="4">
    <dataValidation type="list" sqref="B4:B500" xr:uid="{00000000-0002-0000-0100-000000000000}">
      <formula1>"WhatsApp,Llamada,Email,Reunión,Idea,Persona,Otro"</formula1>
    </dataValidation>
    <dataValidation type="list" sqref="C4:C500" xr:uid="{00000000-0002-0000-0100-000001000000}">
      <formula1>"Tarea,Reunión,Foco,Seguimiento,Reporte,Llamada,Decisión,Administrativo"</formula1>
    </dataValidation>
    <dataValidation type="list" sqref="F4:F500 J4:J500" xr:uid="{00000000-0002-0000-0100-000002000000}">
      <formula1>"Sí,No"</formula1>
    </dataValidation>
    <dataValidation type="list" sqref="I4:I500" xr:uid="{00000000-0002-0000-0100-000003000000}">
      <formula1>"P1,P2,P3,P4"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500"/>
  <sheetViews>
    <sheetView tabSelected="1" workbookViewId="0">
      <selection activeCell="G15" sqref="G15"/>
    </sheetView>
  </sheetViews>
  <sheetFormatPr baseColWidth="10" defaultColWidth="8.796875" defaultRowHeight="13.8"/>
  <cols>
    <col min="1" max="2" width="12" customWidth="1"/>
    <col min="3" max="4" width="9" customWidth="1"/>
    <col min="5" max="5" width="16" customWidth="1"/>
    <col min="6" max="6" width="38" customWidth="1"/>
    <col min="7" max="7" width="36" customWidth="1"/>
    <col min="8" max="8" width="18" customWidth="1"/>
    <col min="9" max="9" width="10" customWidth="1"/>
    <col min="10" max="10" width="11" customWidth="1"/>
    <col min="11" max="11" width="12" customWidth="1"/>
    <col min="12" max="12" width="11" customWidth="1"/>
    <col min="13" max="14" width="13" customWidth="1"/>
    <col min="15" max="15" width="11" customWidth="1"/>
    <col min="16" max="16" width="14" customWidth="1"/>
    <col min="17" max="17" width="13" customWidth="1"/>
    <col min="18" max="18" width="11" customWidth="1"/>
    <col min="19" max="19" width="10" customWidth="1"/>
    <col min="20" max="20" width="22" customWidth="1"/>
    <col min="21" max="21" width="14" customWidth="1"/>
    <col min="22" max="22" width="19" customWidth="1"/>
    <col min="23" max="24" width="11" customWidth="1"/>
    <col min="25" max="26" width="13" customWidth="1"/>
    <col min="27" max="27" width="24" customWidth="1"/>
    <col min="28" max="28" width="40" customWidth="1"/>
  </cols>
  <sheetData>
    <row r="1" spans="1:28" ht="22.35" customHeight="1">
      <c r="A1" s="26" t="s">
        <v>80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</row>
    <row r="3" spans="1:28" ht="27.6">
      <c r="A3" s="1" t="s">
        <v>81</v>
      </c>
      <c r="B3" s="2" t="s">
        <v>82</v>
      </c>
      <c r="C3" s="2" t="s">
        <v>83</v>
      </c>
      <c r="D3" s="2" t="s">
        <v>84</v>
      </c>
      <c r="E3" s="2" t="s">
        <v>62</v>
      </c>
      <c r="F3" s="2" t="s">
        <v>85</v>
      </c>
      <c r="G3" s="2" t="s">
        <v>86</v>
      </c>
      <c r="H3" s="2" t="s">
        <v>87</v>
      </c>
      <c r="I3" s="2" t="s">
        <v>68</v>
      </c>
      <c r="J3" s="2" t="s">
        <v>88</v>
      </c>
      <c r="K3" s="2" t="s">
        <v>89</v>
      </c>
      <c r="L3" s="2" t="s">
        <v>90</v>
      </c>
      <c r="M3" s="2" t="s">
        <v>91</v>
      </c>
      <c r="N3" s="2" t="s">
        <v>92</v>
      </c>
      <c r="O3" s="2" t="s">
        <v>93</v>
      </c>
      <c r="P3" s="2" t="s">
        <v>94</v>
      </c>
      <c r="Q3" s="2" t="s">
        <v>95</v>
      </c>
      <c r="R3" s="2" t="s">
        <v>72</v>
      </c>
      <c r="S3" s="2" t="s">
        <v>96</v>
      </c>
      <c r="T3" s="2" t="s">
        <v>97</v>
      </c>
      <c r="U3" s="2" t="s">
        <v>66</v>
      </c>
      <c r="V3" s="2" t="s">
        <v>98</v>
      </c>
      <c r="W3" s="2" t="s">
        <v>99</v>
      </c>
      <c r="X3" s="2" t="s">
        <v>100</v>
      </c>
      <c r="Y3" s="2" t="s">
        <v>101</v>
      </c>
      <c r="Z3" s="2" t="s">
        <v>102</v>
      </c>
      <c r="AA3" s="2" t="s">
        <v>103</v>
      </c>
      <c r="AB3" s="3" t="s">
        <v>71</v>
      </c>
    </row>
    <row r="4" spans="1:28">
      <c r="A4" t="s">
        <v>104</v>
      </c>
      <c r="B4" s="13">
        <v>46255</v>
      </c>
      <c r="C4" s="14">
        <v>0.29166666666666669</v>
      </c>
      <c r="D4" s="14">
        <v>0.30208333333333331</v>
      </c>
      <c r="E4" t="s">
        <v>105</v>
      </c>
      <c r="F4" t="s">
        <v>106</v>
      </c>
      <c r="G4" t="s">
        <v>107</v>
      </c>
      <c r="I4" t="s">
        <v>108</v>
      </c>
      <c r="J4">
        <v>5</v>
      </c>
      <c r="K4">
        <v>5</v>
      </c>
      <c r="L4" t="s">
        <v>109</v>
      </c>
      <c r="M4" t="s">
        <v>110</v>
      </c>
      <c r="N4" t="s">
        <v>111</v>
      </c>
      <c r="O4" t="s">
        <v>78</v>
      </c>
      <c r="P4" t="s">
        <v>112</v>
      </c>
      <c r="Q4">
        <v>10</v>
      </c>
      <c r="R4" t="s">
        <v>76</v>
      </c>
      <c r="S4" t="s">
        <v>76</v>
      </c>
      <c r="U4" s="13">
        <v>46255</v>
      </c>
      <c r="V4" s="12">
        <v>46255.302083333336</v>
      </c>
      <c r="W4">
        <f t="shared" ref="W4:W67" si="0">IF(OR(C4="",D4=""),"",ROUND((D4-C4)*1440,0))</f>
        <v>15</v>
      </c>
      <c r="X4">
        <v>15</v>
      </c>
      <c r="Y4">
        <f>IF(A4="","",ROUND((J4*4+K4*3+IF(I4="P1",5,IF(I4="P2",4,IF(I4="P3",3,2)))*2+IF(Z4="Sí",5,3))*2,0))</f>
        <v>96</v>
      </c>
      <c r="Z4" t="s">
        <v>78</v>
      </c>
      <c r="AA4" t="s">
        <v>75</v>
      </c>
      <c r="AB4" t="s">
        <v>113</v>
      </c>
    </row>
    <row r="5" spans="1:28">
      <c r="A5" t="s">
        <v>114</v>
      </c>
      <c r="B5" s="13">
        <v>46255</v>
      </c>
      <c r="C5" s="14">
        <v>0.3125</v>
      </c>
      <c r="D5" s="14">
        <v>0.375</v>
      </c>
      <c r="E5" t="s">
        <v>115</v>
      </c>
      <c r="F5" t="s">
        <v>116</v>
      </c>
      <c r="G5" t="s">
        <v>117</v>
      </c>
      <c r="I5" t="s">
        <v>108</v>
      </c>
      <c r="J5">
        <v>5</v>
      </c>
      <c r="K5">
        <v>4</v>
      </c>
      <c r="L5" t="s">
        <v>109</v>
      </c>
      <c r="M5" t="s">
        <v>118</v>
      </c>
      <c r="N5" t="s">
        <v>111</v>
      </c>
      <c r="O5" t="s">
        <v>78</v>
      </c>
      <c r="P5" t="s">
        <v>119</v>
      </c>
      <c r="Q5">
        <v>10</v>
      </c>
      <c r="R5" t="s">
        <v>76</v>
      </c>
      <c r="S5" t="s">
        <v>76</v>
      </c>
      <c r="U5" s="13">
        <v>46255</v>
      </c>
      <c r="V5" s="12"/>
      <c r="W5">
        <f t="shared" si="0"/>
        <v>90</v>
      </c>
      <c r="X5">
        <v>0</v>
      </c>
      <c r="Y5">
        <f>IF(A5="","",ROUND((J5*4+K5*3+IF(I5="P2",5,IF(I5="P3",4,IF(I5="P4",3,2)))*2+IF(Z5="Sí",5,3))*2,0))</f>
        <v>82</v>
      </c>
      <c r="Z5" t="s">
        <v>76</v>
      </c>
      <c r="AA5" t="s">
        <v>120</v>
      </c>
      <c r="AB5" t="s">
        <v>121</v>
      </c>
    </row>
    <row r="6" spans="1:28">
      <c r="A6" t="s">
        <v>122</v>
      </c>
      <c r="B6" s="13">
        <v>46255</v>
      </c>
      <c r="C6" s="14">
        <v>0.48958333333333331</v>
      </c>
      <c r="D6" s="14">
        <v>0.5</v>
      </c>
      <c r="E6" t="s">
        <v>105</v>
      </c>
      <c r="F6" t="s">
        <v>123</v>
      </c>
      <c r="G6" t="s">
        <v>124</v>
      </c>
      <c r="I6" t="s">
        <v>77</v>
      </c>
      <c r="J6">
        <v>4</v>
      </c>
      <c r="K6">
        <v>3</v>
      </c>
      <c r="L6" t="s">
        <v>125</v>
      </c>
      <c r="M6" t="s">
        <v>126</v>
      </c>
      <c r="N6" t="s">
        <v>111</v>
      </c>
      <c r="O6" t="s">
        <v>76</v>
      </c>
      <c r="P6" t="s">
        <v>127</v>
      </c>
      <c r="Q6">
        <v>5</v>
      </c>
      <c r="R6" t="s">
        <v>76</v>
      </c>
      <c r="S6" t="s">
        <v>76</v>
      </c>
      <c r="U6" s="13">
        <v>46255</v>
      </c>
      <c r="V6" s="12"/>
      <c r="W6">
        <f t="shared" si="0"/>
        <v>15</v>
      </c>
      <c r="X6">
        <v>0</v>
      </c>
      <c r="Y6">
        <f>IF(A6="","",ROUND((J6*4+K6*3+IF(I6="P3",5,IF(I6="P4",4,IF(I6="P5",3,2)))*2+IF(Z6="Sí",5,3))*2,0))</f>
        <v>64</v>
      </c>
      <c r="Z6" t="s">
        <v>78</v>
      </c>
      <c r="AA6" t="s">
        <v>128</v>
      </c>
    </row>
    <row r="7" spans="1:28">
      <c r="A7" t="s">
        <v>129</v>
      </c>
      <c r="B7" s="13">
        <v>46255</v>
      </c>
      <c r="C7" s="14">
        <v>0.72916666666666663</v>
      </c>
      <c r="D7" s="14">
        <v>0.73958333333333337</v>
      </c>
      <c r="E7" t="s">
        <v>105</v>
      </c>
      <c r="F7" t="s">
        <v>130</v>
      </c>
      <c r="G7" t="s">
        <v>131</v>
      </c>
      <c r="I7" t="s">
        <v>108</v>
      </c>
      <c r="J7">
        <v>5</v>
      </c>
      <c r="K7">
        <v>4</v>
      </c>
      <c r="L7" t="s">
        <v>125</v>
      </c>
      <c r="M7" t="s">
        <v>126</v>
      </c>
      <c r="N7" t="s">
        <v>111</v>
      </c>
      <c r="O7" t="s">
        <v>78</v>
      </c>
      <c r="P7" t="s">
        <v>132</v>
      </c>
      <c r="Q7">
        <v>10</v>
      </c>
      <c r="R7" t="s">
        <v>76</v>
      </c>
      <c r="S7" t="s">
        <v>76</v>
      </c>
      <c r="U7" s="13">
        <v>46255</v>
      </c>
      <c r="V7" s="12"/>
      <c r="W7">
        <f t="shared" si="0"/>
        <v>15</v>
      </c>
      <c r="X7">
        <v>0</v>
      </c>
      <c r="Y7">
        <f>IF(A7="","",ROUND((J7*4+K7*3+IF(I7="P4",5,IF(I7="P5",4,IF(I7="P6",3,2)))*2+IF(Z7="Sí",5,3))*2,0))</f>
        <v>78</v>
      </c>
      <c r="Z7" t="s">
        <v>78</v>
      </c>
      <c r="AA7" t="s">
        <v>133</v>
      </c>
    </row>
    <row r="8" spans="1:28">
      <c r="B8" s="13">
        <v>46267</v>
      </c>
      <c r="C8" s="14">
        <v>0.25</v>
      </c>
      <c r="D8" s="14">
        <v>0.66666666666666663</v>
      </c>
      <c r="E8" t="s">
        <v>105</v>
      </c>
      <c r="F8" t="s">
        <v>619</v>
      </c>
      <c r="G8" t="s">
        <v>620</v>
      </c>
      <c r="U8" s="13"/>
      <c r="V8" s="12"/>
      <c r="W8">
        <f t="shared" si="0"/>
        <v>600</v>
      </c>
      <c r="Y8" t="str">
        <f>IF(A8="","",ROUND((J8*4+K8*3+IF(I8="P5",5,IF(I8="P6",4,IF(I8="P7",3,2)))*2+IF(Z8="Sí",5,3))*2,0))</f>
        <v/>
      </c>
    </row>
    <row r="9" spans="1:28">
      <c r="B9" s="13"/>
      <c r="C9" s="14"/>
      <c r="D9" s="14"/>
      <c r="F9" s="43" t="s">
        <v>621</v>
      </c>
      <c r="U9" s="13"/>
      <c r="V9" s="12"/>
      <c r="W9" t="str">
        <f t="shared" si="0"/>
        <v/>
      </c>
      <c r="Y9" t="str">
        <f>IF(A9="","",ROUND((J9*4+K9*3+IF(I9="P6",5,IF(I9="P7",4,IF(I9="P8",3,2)))*2+IF(Z9="Sí",5,3))*2,0))</f>
        <v/>
      </c>
    </row>
    <row r="10" spans="1:28">
      <c r="B10" s="13"/>
      <c r="C10" s="14"/>
      <c r="D10" s="14"/>
      <c r="F10" s="43" t="s">
        <v>622</v>
      </c>
      <c r="U10" s="13"/>
      <c r="V10" s="12"/>
      <c r="W10" t="str">
        <f t="shared" si="0"/>
        <v/>
      </c>
      <c r="Y10" t="str">
        <f>IF(A10="","",ROUND((J10*4+K10*3+IF(I10="P7",5,IF(I10="P8",4,IF(I10="P9",3,2)))*2+IF(Z10="Sí",5,3))*2,0))</f>
        <v/>
      </c>
    </row>
    <row r="11" spans="1:28">
      <c r="B11" s="13"/>
      <c r="C11" s="14"/>
      <c r="D11" s="14"/>
      <c r="F11" s="43" t="s">
        <v>623</v>
      </c>
      <c r="U11" s="13"/>
      <c r="V11" s="12"/>
      <c r="W11" t="str">
        <f t="shared" si="0"/>
        <v/>
      </c>
      <c r="Y11" t="str">
        <f>IF(A11="","",ROUND((J11*4+K11*3+IF(I11="P8",5,IF(I11="P9",4,IF(I11="P10",3,2)))*2+IF(Z11="Sí",5,3))*2,0))</f>
        <v/>
      </c>
    </row>
    <row r="12" spans="1:28">
      <c r="B12" s="13"/>
      <c r="C12" s="14"/>
      <c r="D12" s="14"/>
      <c r="F12" s="43" t="s">
        <v>624</v>
      </c>
      <c r="U12" s="13"/>
      <c r="V12" s="12"/>
      <c r="W12" t="str">
        <f t="shared" si="0"/>
        <v/>
      </c>
      <c r="Y12" t="str">
        <f>IF(A12="","",ROUND((J12*4+K12*3+IF(I12="P9",5,IF(I12="P10",4,IF(I12="P11",3,2)))*2+IF(Z12="Sí",5,3))*2,0))</f>
        <v/>
      </c>
    </row>
    <row r="13" spans="1:28">
      <c r="B13" s="13"/>
      <c r="C13" s="14"/>
      <c r="D13" s="14"/>
      <c r="F13" s="43" t="s">
        <v>625</v>
      </c>
      <c r="U13" s="13"/>
      <c r="V13" s="12"/>
      <c r="W13" t="str">
        <f t="shared" si="0"/>
        <v/>
      </c>
      <c r="Y13" t="str">
        <f>IF(A13="","",ROUND((J13*4+K13*3+IF(I13="P10",5,IF(I13="P11",4,IF(I13="P12",3,2)))*2+IF(Z13="Sí",5,3))*2,0))</f>
        <v/>
      </c>
    </row>
    <row r="14" spans="1:28">
      <c r="B14" s="13"/>
      <c r="C14" s="14"/>
      <c r="D14" s="14"/>
      <c r="U14" s="13"/>
      <c r="V14" s="12"/>
      <c r="W14" t="str">
        <f t="shared" si="0"/>
        <v/>
      </c>
      <c r="Y14" t="str">
        <f>IF(A14="","",ROUND((J14*4+K14*3+IF(I14="P11",5,IF(I14="P12",4,IF(I14="P13",3,2)))*2+IF(Z14="Sí",5,3))*2,0))</f>
        <v/>
      </c>
    </row>
    <row r="15" spans="1:28">
      <c r="B15" s="13"/>
      <c r="C15" s="14"/>
      <c r="D15" s="14"/>
      <c r="U15" s="13"/>
      <c r="V15" s="12"/>
      <c r="W15" t="str">
        <f t="shared" si="0"/>
        <v/>
      </c>
      <c r="Y15" t="str">
        <f>IF(A15="","",ROUND((J15*4+K15*3+IF(I15="P12",5,IF(I15="P13",4,IF(I15="P14",3,2)))*2+IF(Z15="Sí",5,3))*2,0))</f>
        <v/>
      </c>
    </row>
    <row r="16" spans="1:28">
      <c r="B16" s="13"/>
      <c r="C16" s="14"/>
      <c r="D16" s="14"/>
      <c r="U16" s="13"/>
      <c r="V16" s="12"/>
      <c r="W16" t="str">
        <f t="shared" si="0"/>
        <v/>
      </c>
      <c r="Y16" t="str">
        <f>IF(A16="","",ROUND((J16*4+K16*3+IF(I16="P13",5,IF(I16="P14",4,IF(I16="P15",3,2)))*2+IF(Z16="Sí",5,3))*2,0))</f>
        <v/>
      </c>
    </row>
    <row r="17" spans="2:25">
      <c r="B17" s="13"/>
      <c r="C17" s="14"/>
      <c r="D17" s="14"/>
      <c r="U17" s="13"/>
      <c r="V17" s="12"/>
      <c r="W17" t="str">
        <f t="shared" si="0"/>
        <v/>
      </c>
      <c r="Y17" t="str">
        <f>IF(A17="","",ROUND((J17*4+K17*3+IF(I17="P14",5,IF(I17="P15",4,IF(I17="P16",3,2)))*2+IF(Z17="Sí",5,3))*2,0))</f>
        <v/>
      </c>
    </row>
    <row r="18" spans="2:25">
      <c r="B18" s="13"/>
      <c r="C18" s="14"/>
      <c r="D18" s="14"/>
      <c r="U18" s="13"/>
      <c r="V18" s="12"/>
      <c r="W18" t="str">
        <f t="shared" si="0"/>
        <v/>
      </c>
      <c r="Y18" t="str">
        <f>IF(A18="","",ROUND((J18*4+K18*3+IF(I18="P15",5,IF(I18="P16",4,IF(I18="P17",3,2)))*2+IF(Z18="Sí",5,3))*2,0))</f>
        <v/>
      </c>
    </row>
    <row r="19" spans="2:25">
      <c r="B19" s="13"/>
      <c r="C19" s="14"/>
      <c r="D19" s="14"/>
      <c r="U19" s="13"/>
      <c r="V19" s="12"/>
      <c r="W19" t="str">
        <f t="shared" si="0"/>
        <v/>
      </c>
      <c r="Y19" t="str">
        <f>IF(A19="","",ROUND((J19*4+K19*3+IF(I19="P16",5,IF(I19="P17",4,IF(I19="P18",3,2)))*2+IF(Z19="Sí",5,3))*2,0))</f>
        <v/>
      </c>
    </row>
    <row r="20" spans="2:25">
      <c r="B20" s="13"/>
      <c r="C20" s="14"/>
      <c r="D20" s="14"/>
      <c r="U20" s="13"/>
      <c r="V20" s="12"/>
      <c r="W20" t="str">
        <f t="shared" si="0"/>
        <v/>
      </c>
      <c r="Y20" t="str">
        <f>IF(A20="","",ROUND((J20*4+K20*3+IF(I20="P17",5,IF(I20="P18",4,IF(I20="P19",3,2)))*2+IF(Z20="Sí",5,3))*2,0))</f>
        <v/>
      </c>
    </row>
    <row r="21" spans="2:25">
      <c r="B21" s="13"/>
      <c r="C21" s="14"/>
      <c r="D21" s="14"/>
      <c r="U21" s="13"/>
      <c r="V21" s="12"/>
      <c r="W21" t="str">
        <f t="shared" si="0"/>
        <v/>
      </c>
      <c r="Y21" t="str">
        <f>IF(A21="","",ROUND((J21*4+K21*3+IF(I21="P18",5,IF(I21="P19",4,IF(I21="P20",3,2)))*2+IF(Z21="Sí",5,3))*2,0))</f>
        <v/>
      </c>
    </row>
    <row r="22" spans="2:25">
      <c r="B22" s="13"/>
      <c r="C22" s="14"/>
      <c r="D22" s="14"/>
      <c r="U22" s="13"/>
      <c r="V22" s="12"/>
      <c r="W22" t="str">
        <f t="shared" si="0"/>
        <v/>
      </c>
      <c r="Y22" t="str">
        <f>IF(A22="","",ROUND((J22*4+K22*3+IF(I22="P19",5,IF(I22="P20",4,IF(I22="P21",3,2)))*2+IF(Z22="Sí",5,3))*2,0))</f>
        <v/>
      </c>
    </row>
    <row r="23" spans="2:25">
      <c r="B23" s="13"/>
      <c r="C23" s="14"/>
      <c r="D23" s="14"/>
      <c r="U23" s="13"/>
      <c r="V23" s="12"/>
      <c r="W23" t="str">
        <f t="shared" si="0"/>
        <v/>
      </c>
      <c r="Y23" t="str">
        <f>IF(A23="","",ROUND((J23*4+K23*3+IF(I23="P20",5,IF(I23="P21",4,IF(I23="P22",3,2)))*2+IF(Z23="Sí",5,3))*2,0))</f>
        <v/>
      </c>
    </row>
    <row r="24" spans="2:25">
      <c r="B24" s="13"/>
      <c r="C24" s="14"/>
      <c r="D24" s="14"/>
      <c r="U24" s="13"/>
      <c r="V24" s="12"/>
      <c r="W24" t="str">
        <f t="shared" si="0"/>
        <v/>
      </c>
      <c r="Y24" t="str">
        <f>IF(A24="","",ROUND((J24*4+K24*3+IF(I24="P21",5,IF(I24="P22",4,IF(I24="P23",3,2)))*2+IF(Z24="Sí",5,3))*2,0))</f>
        <v/>
      </c>
    </row>
    <row r="25" spans="2:25">
      <c r="B25" s="13"/>
      <c r="C25" s="14"/>
      <c r="D25" s="14"/>
      <c r="U25" s="13"/>
      <c r="V25" s="12"/>
      <c r="W25" t="str">
        <f t="shared" si="0"/>
        <v/>
      </c>
      <c r="Y25" t="str">
        <f>IF(A25="","",ROUND((J25*4+K25*3+IF(I25="P22",5,IF(I25="P23",4,IF(I25="P24",3,2)))*2+IF(Z25="Sí",5,3))*2,0))</f>
        <v/>
      </c>
    </row>
    <row r="26" spans="2:25">
      <c r="B26" s="13"/>
      <c r="C26" s="14"/>
      <c r="D26" s="14"/>
      <c r="U26" s="13"/>
      <c r="V26" s="12"/>
      <c r="W26" t="str">
        <f t="shared" si="0"/>
        <v/>
      </c>
      <c r="Y26" t="str">
        <f>IF(A26="","",ROUND((J26*4+K26*3+IF(I26="P23",5,IF(I26="P24",4,IF(I26="P25",3,2)))*2+IF(Z26="Sí",5,3))*2,0))</f>
        <v/>
      </c>
    </row>
    <row r="27" spans="2:25">
      <c r="B27" s="13"/>
      <c r="C27" s="14"/>
      <c r="D27" s="14"/>
      <c r="U27" s="13"/>
      <c r="V27" s="12"/>
      <c r="W27" t="str">
        <f t="shared" si="0"/>
        <v/>
      </c>
      <c r="Y27" t="str">
        <f>IF(A27="","",ROUND((J27*4+K27*3+IF(I27="P24",5,IF(I27="P25",4,IF(I27="P26",3,2)))*2+IF(Z27="Sí",5,3))*2,0))</f>
        <v/>
      </c>
    </row>
    <row r="28" spans="2:25">
      <c r="B28" s="13"/>
      <c r="C28" s="14"/>
      <c r="D28" s="14"/>
      <c r="U28" s="13"/>
      <c r="V28" s="12"/>
      <c r="W28" t="str">
        <f t="shared" si="0"/>
        <v/>
      </c>
      <c r="Y28" t="str">
        <f>IF(A28="","",ROUND((J28*4+K28*3+IF(I28="P25",5,IF(I28="P26",4,IF(I28="P27",3,2)))*2+IF(Z28="Sí",5,3))*2,0))</f>
        <v/>
      </c>
    </row>
    <row r="29" spans="2:25">
      <c r="B29" s="13"/>
      <c r="C29" s="14"/>
      <c r="D29" s="14"/>
      <c r="U29" s="13"/>
      <c r="V29" s="12"/>
      <c r="W29" t="str">
        <f t="shared" si="0"/>
        <v/>
      </c>
      <c r="Y29" t="str">
        <f>IF(A29="","",ROUND((J29*4+K29*3+IF(I29="P26",5,IF(I29="P27",4,IF(I29="P28",3,2)))*2+IF(Z29="Sí",5,3))*2,0))</f>
        <v/>
      </c>
    </row>
    <row r="30" spans="2:25">
      <c r="B30" s="13"/>
      <c r="C30" s="14"/>
      <c r="D30" s="14"/>
      <c r="U30" s="13"/>
      <c r="V30" s="12"/>
      <c r="W30" t="str">
        <f t="shared" si="0"/>
        <v/>
      </c>
      <c r="Y30" t="str">
        <f>IF(A30="","",ROUND((J30*4+K30*3+IF(I30="P27",5,IF(I30="P28",4,IF(I30="P29",3,2)))*2+IF(Z30="Sí",5,3))*2,0))</f>
        <v/>
      </c>
    </row>
    <row r="31" spans="2:25">
      <c r="B31" s="13"/>
      <c r="C31" s="14"/>
      <c r="D31" s="14"/>
      <c r="U31" s="13"/>
      <c r="V31" s="12"/>
      <c r="W31" t="str">
        <f t="shared" si="0"/>
        <v/>
      </c>
      <c r="Y31" t="str">
        <f>IF(A31="","",ROUND((J31*4+K31*3+IF(I31="P28",5,IF(I31="P29",4,IF(I31="P30",3,2)))*2+IF(Z31="Sí",5,3))*2,0))</f>
        <v/>
      </c>
    </row>
    <row r="32" spans="2:25">
      <c r="B32" s="13"/>
      <c r="C32" s="14"/>
      <c r="D32" s="14"/>
      <c r="U32" s="13"/>
      <c r="V32" s="12"/>
      <c r="W32" t="str">
        <f t="shared" si="0"/>
        <v/>
      </c>
      <c r="Y32" t="str">
        <f>IF(A32="","",ROUND((J32*4+K32*3+IF(I32="P29",5,IF(I32="P30",4,IF(I32="P31",3,2)))*2+IF(Z32="Sí",5,3))*2,0))</f>
        <v/>
      </c>
    </row>
    <row r="33" spans="2:25">
      <c r="B33" s="13"/>
      <c r="C33" s="14"/>
      <c r="D33" s="14"/>
      <c r="U33" s="13"/>
      <c r="V33" s="12"/>
      <c r="W33" t="str">
        <f t="shared" si="0"/>
        <v/>
      </c>
      <c r="Y33" t="str">
        <f>IF(A33="","",ROUND((J33*4+K33*3+IF(I33="P30",5,IF(I33="P31",4,IF(I33="P32",3,2)))*2+IF(Z33="Sí",5,3))*2,0))</f>
        <v/>
      </c>
    </row>
    <row r="34" spans="2:25">
      <c r="B34" s="13"/>
      <c r="C34" s="14"/>
      <c r="D34" s="14"/>
      <c r="U34" s="13"/>
      <c r="V34" s="12"/>
      <c r="W34" t="str">
        <f t="shared" si="0"/>
        <v/>
      </c>
      <c r="Y34" t="str">
        <f>IF(A34="","",ROUND((J34*4+K34*3+IF(I34="P31",5,IF(I34="P32",4,IF(I34="P33",3,2)))*2+IF(Z34="Sí",5,3))*2,0))</f>
        <v/>
      </c>
    </row>
    <row r="35" spans="2:25">
      <c r="B35" s="13"/>
      <c r="C35" s="14"/>
      <c r="D35" s="14"/>
      <c r="U35" s="13"/>
      <c r="V35" s="12"/>
      <c r="W35" t="str">
        <f t="shared" si="0"/>
        <v/>
      </c>
      <c r="Y35" t="str">
        <f>IF(A35="","",ROUND((J35*4+K35*3+IF(I35="P32",5,IF(I35="P33",4,IF(I35="P34",3,2)))*2+IF(Z35="Sí",5,3))*2,0))</f>
        <v/>
      </c>
    </row>
    <row r="36" spans="2:25">
      <c r="B36" s="13"/>
      <c r="C36" s="14"/>
      <c r="D36" s="14"/>
      <c r="U36" s="13"/>
      <c r="V36" s="12"/>
      <c r="W36" t="str">
        <f t="shared" si="0"/>
        <v/>
      </c>
      <c r="Y36" t="str">
        <f>IF(A36="","",ROUND((J36*4+K36*3+IF(I36="P33",5,IF(I36="P34",4,IF(I36="P35",3,2)))*2+IF(Z36="Sí",5,3))*2,0))</f>
        <v/>
      </c>
    </row>
    <row r="37" spans="2:25">
      <c r="B37" s="13"/>
      <c r="C37" s="14"/>
      <c r="D37" s="14"/>
      <c r="U37" s="13"/>
      <c r="V37" s="12"/>
      <c r="W37" t="str">
        <f t="shared" si="0"/>
        <v/>
      </c>
      <c r="Y37" t="str">
        <f>IF(A37="","",ROUND((J37*4+K37*3+IF(I37="P34",5,IF(I37="P35",4,IF(I37="P36",3,2)))*2+IF(Z37="Sí",5,3))*2,0))</f>
        <v/>
      </c>
    </row>
    <row r="38" spans="2:25">
      <c r="B38" s="13"/>
      <c r="C38" s="14"/>
      <c r="D38" s="14"/>
      <c r="U38" s="13"/>
      <c r="V38" s="12"/>
      <c r="W38" t="str">
        <f t="shared" si="0"/>
        <v/>
      </c>
      <c r="Y38" t="str">
        <f>IF(A38="","",ROUND((J38*4+K38*3+IF(I38="P35",5,IF(I38="P36",4,IF(I38="P37",3,2)))*2+IF(Z38="Sí",5,3))*2,0))</f>
        <v/>
      </c>
    </row>
    <row r="39" spans="2:25">
      <c r="B39" s="13"/>
      <c r="C39" s="14"/>
      <c r="D39" s="14"/>
      <c r="U39" s="13"/>
      <c r="V39" s="12"/>
      <c r="W39" t="str">
        <f t="shared" si="0"/>
        <v/>
      </c>
      <c r="Y39" t="str">
        <f>IF(A39="","",ROUND((J39*4+K39*3+IF(I39="P36",5,IF(I39="P37",4,IF(I39="P38",3,2)))*2+IF(Z39="Sí",5,3))*2,0))</f>
        <v/>
      </c>
    </row>
    <row r="40" spans="2:25">
      <c r="B40" s="13"/>
      <c r="C40" s="14"/>
      <c r="D40" s="14"/>
      <c r="U40" s="13"/>
      <c r="V40" s="12"/>
      <c r="W40" t="str">
        <f t="shared" si="0"/>
        <v/>
      </c>
      <c r="Y40" t="str">
        <f>IF(A40="","",ROUND((J40*4+K40*3+IF(I40="P37",5,IF(I40="P38",4,IF(I40="P39",3,2)))*2+IF(Z40="Sí",5,3))*2,0))</f>
        <v/>
      </c>
    </row>
    <row r="41" spans="2:25">
      <c r="B41" s="13"/>
      <c r="C41" s="14"/>
      <c r="D41" s="14"/>
      <c r="U41" s="13"/>
      <c r="V41" s="12"/>
      <c r="W41" t="str">
        <f t="shared" si="0"/>
        <v/>
      </c>
      <c r="Y41" t="str">
        <f>IF(A41="","",ROUND((J41*4+K41*3+IF(I41="P38",5,IF(I41="P39",4,IF(I41="P40",3,2)))*2+IF(Z41="Sí",5,3))*2,0))</f>
        <v/>
      </c>
    </row>
    <row r="42" spans="2:25">
      <c r="B42" s="13"/>
      <c r="C42" s="14"/>
      <c r="D42" s="14"/>
      <c r="U42" s="13"/>
      <c r="V42" s="12"/>
      <c r="W42" t="str">
        <f t="shared" si="0"/>
        <v/>
      </c>
      <c r="Y42" t="str">
        <f>IF(A42="","",ROUND((J42*4+K42*3+IF(I42="P39",5,IF(I42="P40",4,IF(I42="P41",3,2)))*2+IF(Z42="Sí",5,3))*2,0))</f>
        <v/>
      </c>
    </row>
    <row r="43" spans="2:25">
      <c r="B43" s="13"/>
      <c r="C43" s="14"/>
      <c r="D43" s="14"/>
      <c r="U43" s="13"/>
      <c r="V43" s="12"/>
      <c r="W43" t="str">
        <f t="shared" si="0"/>
        <v/>
      </c>
      <c r="Y43" t="str">
        <f>IF(A43="","",ROUND((J43*4+K43*3+IF(I43="P40",5,IF(I43="P41",4,IF(I43="P42",3,2)))*2+IF(Z43="Sí",5,3))*2,0))</f>
        <v/>
      </c>
    </row>
    <row r="44" spans="2:25">
      <c r="B44" s="13"/>
      <c r="C44" s="14"/>
      <c r="D44" s="14"/>
      <c r="U44" s="13"/>
      <c r="V44" s="12"/>
      <c r="W44" t="str">
        <f t="shared" si="0"/>
        <v/>
      </c>
      <c r="Y44" t="str">
        <f>IF(A44="","",ROUND((J44*4+K44*3+IF(I44="P41",5,IF(I44="P42",4,IF(I44="P43",3,2)))*2+IF(Z44="Sí",5,3))*2,0))</f>
        <v/>
      </c>
    </row>
    <row r="45" spans="2:25">
      <c r="B45" s="13"/>
      <c r="C45" s="14"/>
      <c r="D45" s="14"/>
      <c r="U45" s="13"/>
      <c r="V45" s="12"/>
      <c r="W45" t="str">
        <f t="shared" si="0"/>
        <v/>
      </c>
      <c r="Y45" t="str">
        <f>IF(A45="","",ROUND((J45*4+K45*3+IF(I45="P42",5,IF(I45="P43",4,IF(I45="P44",3,2)))*2+IF(Z45="Sí",5,3))*2,0))</f>
        <v/>
      </c>
    </row>
    <row r="46" spans="2:25">
      <c r="B46" s="13"/>
      <c r="C46" s="14"/>
      <c r="D46" s="14"/>
      <c r="U46" s="13"/>
      <c r="V46" s="12"/>
      <c r="W46" t="str">
        <f t="shared" si="0"/>
        <v/>
      </c>
      <c r="Y46" t="str">
        <f>IF(A46="","",ROUND((J46*4+K46*3+IF(I46="P43",5,IF(I46="P44",4,IF(I46="P45",3,2)))*2+IF(Z46="Sí",5,3))*2,0))</f>
        <v/>
      </c>
    </row>
    <row r="47" spans="2:25">
      <c r="B47" s="13"/>
      <c r="C47" s="14"/>
      <c r="D47" s="14"/>
      <c r="U47" s="13"/>
      <c r="V47" s="12"/>
      <c r="W47" t="str">
        <f t="shared" si="0"/>
        <v/>
      </c>
      <c r="Y47" t="str">
        <f>IF(A47="","",ROUND((J47*4+K47*3+IF(I47="P44",5,IF(I47="P45",4,IF(I47="P46",3,2)))*2+IF(Z47="Sí",5,3))*2,0))</f>
        <v/>
      </c>
    </row>
    <row r="48" spans="2:25">
      <c r="B48" s="13"/>
      <c r="C48" s="14"/>
      <c r="D48" s="14"/>
      <c r="U48" s="13"/>
      <c r="V48" s="12"/>
      <c r="W48" t="str">
        <f t="shared" si="0"/>
        <v/>
      </c>
      <c r="Y48" t="str">
        <f>IF(A48="","",ROUND((J48*4+K48*3+IF(I48="P45",5,IF(I48="P46",4,IF(I48="P47",3,2)))*2+IF(Z48="Sí",5,3))*2,0))</f>
        <v/>
      </c>
    </row>
    <row r="49" spans="2:25">
      <c r="B49" s="13"/>
      <c r="C49" s="14"/>
      <c r="D49" s="14"/>
      <c r="U49" s="13"/>
      <c r="V49" s="12"/>
      <c r="W49" t="str">
        <f t="shared" si="0"/>
        <v/>
      </c>
      <c r="Y49" t="str">
        <f>IF(A49="","",ROUND((J49*4+K49*3+IF(I49="P46",5,IF(I49="P47",4,IF(I49="P48",3,2)))*2+IF(Z49="Sí",5,3))*2,0))</f>
        <v/>
      </c>
    </row>
    <row r="50" spans="2:25">
      <c r="B50" s="13"/>
      <c r="C50" s="14"/>
      <c r="D50" s="14"/>
      <c r="U50" s="13"/>
      <c r="V50" s="12"/>
      <c r="W50" t="str">
        <f t="shared" si="0"/>
        <v/>
      </c>
      <c r="Y50" t="str">
        <f>IF(A50="","",ROUND((J50*4+K50*3+IF(I50="P47",5,IF(I50="P48",4,IF(I50="P49",3,2)))*2+IF(Z50="Sí",5,3))*2,0))</f>
        <v/>
      </c>
    </row>
    <row r="51" spans="2:25">
      <c r="B51" s="13"/>
      <c r="C51" s="14"/>
      <c r="D51" s="14"/>
      <c r="U51" s="13"/>
      <c r="V51" s="12"/>
      <c r="W51" t="str">
        <f t="shared" si="0"/>
        <v/>
      </c>
      <c r="Y51" t="str">
        <f>IF(A51="","",ROUND((J51*4+K51*3+IF(I51="P48",5,IF(I51="P49",4,IF(I51="P50",3,2)))*2+IF(Z51="Sí",5,3))*2,0))</f>
        <v/>
      </c>
    </row>
    <row r="52" spans="2:25">
      <c r="B52" s="13"/>
      <c r="C52" s="14"/>
      <c r="D52" s="14"/>
      <c r="U52" s="13"/>
      <c r="V52" s="12"/>
      <c r="W52" t="str">
        <f t="shared" si="0"/>
        <v/>
      </c>
      <c r="Y52" t="str">
        <f>IF(A52="","",ROUND((J52*4+K52*3+IF(I52="P49",5,IF(I52="P50",4,IF(I52="P51",3,2)))*2+IF(Z52="Sí",5,3))*2,0))</f>
        <v/>
      </c>
    </row>
    <row r="53" spans="2:25">
      <c r="B53" s="13"/>
      <c r="C53" s="14"/>
      <c r="D53" s="14"/>
      <c r="U53" s="13"/>
      <c r="V53" s="12"/>
      <c r="W53" t="str">
        <f t="shared" si="0"/>
        <v/>
      </c>
      <c r="Y53" t="str">
        <f>IF(A53="","",ROUND((J53*4+K53*3+IF(I53="P50",5,IF(I53="P51",4,IF(I53="P52",3,2)))*2+IF(Z53="Sí",5,3))*2,0))</f>
        <v/>
      </c>
    </row>
    <row r="54" spans="2:25">
      <c r="B54" s="13"/>
      <c r="C54" s="14"/>
      <c r="D54" s="14"/>
      <c r="U54" s="13"/>
      <c r="V54" s="12"/>
      <c r="W54" t="str">
        <f t="shared" si="0"/>
        <v/>
      </c>
      <c r="Y54" t="str">
        <f>IF(A54="","",ROUND((J54*4+K54*3+IF(I54="P51",5,IF(I54="P52",4,IF(I54="P53",3,2)))*2+IF(Z54="Sí",5,3))*2,0))</f>
        <v/>
      </c>
    </row>
    <row r="55" spans="2:25">
      <c r="B55" s="13"/>
      <c r="C55" s="14"/>
      <c r="D55" s="14"/>
      <c r="U55" s="13"/>
      <c r="V55" s="12"/>
      <c r="W55" t="str">
        <f t="shared" si="0"/>
        <v/>
      </c>
      <c r="Y55" t="str">
        <f>IF(A55="","",ROUND((J55*4+K55*3+IF(I55="P52",5,IF(I55="P53",4,IF(I55="P54",3,2)))*2+IF(Z55="Sí",5,3))*2,0))</f>
        <v/>
      </c>
    </row>
    <row r="56" spans="2:25">
      <c r="B56" s="13"/>
      <c r="C56" s="14"/>
      <c r="D56" s="14"/>
      <c r="U56" s="13"/>
      <c r="V56" s="12"/>
      <c r="W56" t="str">
        <f t="shared" si="0"/>
        <v/>
      </c>
      <c r="Y56" t="str">
        <f>IF(A56="","",ROUND((J56*4+K56*3+IF(I56="P53",5,IF(I56="P54",4,IF(I56="P55",3,2)))*2+IF(Z56="Sí",5,3))*2,0))</f>
        <v/>
      </c>
    </row>
    <row r="57" spans="2:25">
      <c r="B57" s="13"/>
      <c r="C57" s="14"/>
      <c r="D57" s="14"/>
      <c r="U57" s="13"/>
      <c r="V57" s="12"/>
      <c r="W57" t="str">
        <f t="shared" si="0"/>
        <v/>
      </c>
      <c r="Y57" t="str">
        <f>IF(A57="","",ROUND((J57*4+K57*3+IF(I57="P54",5,IF(I57="P55",4,IF(I57="P56",3,2)))*2+IF(Z57="Sí",5,3))*2,0))</f>
        <v/>
      </c>
    </row>
    <row r="58" spans="2:25">
      <c r="B58" s="13"/>
      <c r="C58" s="14"/>
      <c r="D58" s="14"/>
      <c r="U58" s="13"/>
      <c r="V58" s="12"/>
      <c r="W58" t="str">
        <f t="shared" si="0"/>
        <v/>
      </c>
      <c r="Y58" t="str">
        <f>IF(A58="","",ROUND((J58*4+K58*3+IF(I58="P55",5,IF(I58="P56",4,IF(I58="P57",3,2)))*2+IF(Z58="Sí",5,3))*2,0))</f>
        <v/>
      </c>
    </row>
    <row r="59" spans="2:25">
      <c r="B59" s="13"/>
      <c r="C59" s="14"/>
      <c r="D59" s="14"/>
      <c r="U59" s="13"/>
      <c r="V59" s="12"/>
      <c r="W59" t="str">
        <f t="shared" si="0"/>
        <v/>
      </c>
      <c r="Y59" t="str">
        <f>IF(A59="","",ROUND((J59*4+K59*3+IF(I59="P56",5,IF(I59="P57",4,IF(I59="P58",3,2)))*2+IF(Z59="Sí",5,3))*2,0))</f>
        <v/>
      </c>
    </row>
    <row r="60" spans="2:25">
      <c r="B60" s="13"/>
      <c r="C60" s="14"/>
      <c r="D60" s="14"/>
      <c r="U60" s="13"/>
      <c r="V60" s="12"/>
      <c r="W60" t="str">
        <f t="shared" si="0"/>
        <v/>
      </c>
      <c r="Y60" t="str">
        <f>IF(A60="","",ROUND((J60*4+K60*3+IF(I60="P57",5,IF(I60="P58",4,IF(I60="P59",3,2)))*2+IF(Z60="Sí",5,3))*2,0))</f>
        <v/>
      </c>
    </row>
    <row r="61" spans="2:25">
      <c r="B61" s="13"/>
      <c r="C61" s="14"/>
      <c r="D61" s="14"/>
      <c r="U61" s="13"/>
      <c r="V61" s="12"/>
      <c r="W61" t="str">
        <f t="shared" si="0"/>
        <v/>
      </c>
      <c r="Y61" t="str">
        <f>IF(A61="","",ROUND((J61*4+K61*3+IF(I61="P58",5,IF(I61="P59",4,IF(I61="P60",3,2)))*2+IF(Z61="Sí",5,3))*2,0))</f>
        <v/>
      </c>
    </row>
    <row r="62" spans="2:25">
      <c r="B62" s="13"/>
      <c r="C62" s="14"/>
      <c r="D62" s="14"/>
      <c r="U62" s="13"/>
      <c r="V62" s="12"/>
      <c r="W62" t="str">
        <f t="shared" si="0"/>
        <v/>
      </c>
      <c r="Y62" t="str">
        <f>IF(A62="","",ROUND((J62*4+K62*3+IF(I62="P59",5,IF(I62="P60",4,IF(I62="P61",3,2)))*2+IF(Z62="Sí",5,3))*2,0))</f>
        <v/>
      </c>
    </row>
    <row r="63" spans="2:25">
      <c r="B63" s="13"/>
      <c r="C63" s="14"/>
      <c r="D63" s="14"/>
      <c r="U63" s="13"/>
      <c r="V63" s="12"/>
      <c r="W63" t="str">
        <f t="shared" si="0"/>
        <v/>
      </c>
      <c r="Y63" t="str">
        <f>IF(A63="","",ROUND((J63*4+K63*3+IF(I63="P60",5,IF(I63="P61",4,IF(I63="P62",3,2)))*2+IF(Z63="Sí",5,3))*2,0))</f>
        <v/>
      </c>
    </row>
    <row r="64" spans="2:25">
      <c r="B64" s="13"/>
      <c r="C64" s="14"/>
      <c r="D64" s="14"/>
      <c r="U64" s="13"/>
      <c r="V64" s="12"/>
      <c r="W64" t="str">
        <f t="shared" si="0"/>
        <v/>
      </c>
      <c r="Y64" t="str">
        <f>IF(A64="","",ROUND((J64*4+K64*3+IF(I64="P61",5,IF(I64="P62",4,IF(I64="P63",3,2)))*2+IF(Z64="Sí",5,3))*2,0))</f>
        <v/>
      </c>
    </row>
    <row r="65" spans="2:25">
      <c r="B65" s="13"/>
      <c r="C65" s="14"/>
      <c r="D65" s="14"/>
      <c r="U65" s="13"/>
      <c r="V65" s="12"/>
      <c r="W65" t="str">
        <f t="shared" si="0"/>
        <v/>
      </c>
      <c r="Y65" t="str">
        <f>IF(A65="","",ROUND((J65*4+K65*3+IF(I65="P62",5,IF(I65="P63",4,IF(I65="P64",3,2)))*2+IF(Z65="Sí",5,3))*2,0))</f>
        <v/>
      </c>
    </row>
    <row r="66" spans="2:25">
      <c r="B66" s="13"/>
      <c r="C66" s="14"/>
      <c r="D66" s="14"/>
      <c r="U66" s="13"/>
      <c r="V66" s="12"/>
      <c r="W66" t="str">
        <f t="shared" si="0"/>
        <v/>
      </c>
      <c r="Y66" t="str">
        <f>IF(A66="","",ROUND((J66*4+K66*3+IF(I66="P63",5,IF(I66="P64",4,IF(I66="P65",3,2)))*2+IF(Z66="Sí",5,3))*2,0))</f>
        <v/>
      </c>
    </row>
    <row r="67" spans="2:25">
      <c r="B67" s="13"/>
      <c r="C67" s="14"/>
      <c r="D67" s="14"/>
      <c r="U67" s="13"/>
      <c r="V67" s="12"/>
      <c r="W67" t="str">
        <f t="shared" si="0"/>
        <v/>
      </c>
      <c r="Y67" t="str">
        <f>IF(A67="","",ROUND((J67*4+K67*3+IF(I67="P64",5,IF(I67="P65",4,IF(I67="P66",3,2)))*2+IF(Z67="Sí",5,3))*2,0))</f>
        <v/>
      </c>
    </row>
    <row r="68" spans="2:25">
      <c r="B68" s="13"/>
      <c r="C68" s="14"/>
      <c r="D68" s="14"/>
      <c r="U68" s="13"/>
      <c r="V68" s="12"/>
      <c r="W68" t="str">
        <f t="shared" ref="W68:W131" si="1">IF(OR(C68="",D68=""),"",ROUND((D68-C68)*1440,0))</f>
        <v/>
      </c>
      <c r="Y68" t="str">
        <f>IF(A68="","",ROUND((J68*4+K68*3+IF(I68="P65",5,IF(I68="P66",4,IF(I68="P67",3,2)))*2+IF(Z68="Sí",5,3))*2,0))</f>
        <v/>
      </c>
    </row>
    <row r="69" spans="2:25">
      <c r="B69" s="13"/>
      <c r="C69" s="14"/>
      <c r="D69" s="14"/>
      <c r="U69" s="13"/>
      <c r="V69" s="12"/>
      <c r="W69" t="str">
        <f t="shared" si="1"/>
        <v/>
      </c>
      <c r="Y69" t="str">
        <f>IF(A69="","",ROUND((J69*4+K69*3+IF(I69="P66",5,IF(I69="P67",4,IF(I69="P68",3,2)))*2+IF(Z69="Sí",5,3))*2,0))</f>
        <v/>
      </c>
    </row>
    <row r="70" spans="2:25">
      <c r="B70" s="13"/>
      <c r="C70" s="14"/>
      <c r="D70" s="14"/>
      <c r="U70" s="13"/>
      <c r="V70" s="12"/>
      <c r="W70" t="str">
        <f t="shared" si="1"/>
        <v/>
      </c>
      <c r="Y70" t="str">
        <f>IF(A70="","",ROUND((J70*4+K70*3+IF(I70="P67",5,IF(I70="P68",4,IF(I70="P69",3,2)))*2+IF(Z70="Sí",5,3))*2,0))</f>
        <v/>
      </c>
    </row>
    <row r="71" spans="2:25">
      <c r="B71" s="13"/>
      <c r="C71" s="14"/>
      <c r="D71" s="14"/>
      <c r="U71" s="13"/>
      <c r="V71" s="12"/>
      <c r="W71" t="str">
        <f t="shared" si="1"/>
        <v/>
      </c>
      <c r="Y71" t="str">
        <f>IF(A71="","",ROUND((J71*4+K71*3+IF(I71="P68",5,IF(I71="P69",4,IF(I71="P70",3,2)))*2+IF(Z71="Sí",5,3))*2,0))</f>
        <v/>
      </c>
    </row>
    <row r="72" spans="2:25">
      <c r="B72" s="13"/>
      <c r="C72" s="14"/>
      <c r="D72" s="14"/>
      <c r="U72" s="13"/>
      <c r="V72" s="12"/>
      <c r="W72" t="str">
        <f t="shared" si="1"/>
        <v/>
      </c>
      <c r="Y72" t="str">
        <f>IF(A72="","",ROUND((J72*4+K72*3+IF(I72="P69",5,IF(I72="P70",4,IF(I72="P71",3,2)))*2+IF(Z72="Sí",5,3))*2,0))</f>
        <v/>
      </c>
    </row>
    <row r="73" spans="2:25">
      <c r="B73" s="13"/>
      <c r="C73" s="14"/>
      <c r="D73" s="14"/>
      <c r="U73" s="13"/>
      <c r="V73" s="12"/>
      <c r="W73" t="str">
        <f t="shared" si="1"/>
        <v/>
      </c>
      <c r="Y73" t="str">
        <f>IF(A73="","",ROUND((J73*4+K73*3+IF(I73="P70",5,IF(I73="P71",4,IF(I73="P72",3,2)))*2+IF(Z73="Sí",5,3))*2,0))</f>
        <v/>
      </c>
    </row>
    <row r="74" spans="2:25">
      <c r="B74" s="13"/>
      <c r="C74" s="14"/>
      <c r="D74" s="14"/>
      <c r="U74" s="13"/>
      <c r="V74" s="12"/>
      <c r="W74" t="str">
        <f t="shared" si="1"/>
        <v/>
      </c>
      <c r="Y74" t="str">
        <f>IF(A74="","",ROUND((J74*4+K74*3+IF(I74="P71",5,IF(I74="P72",4,IF(I74="P73",3,2)))*2+IF(Z74="Sí",5,3))*2,0))</f>
        <v/>
      </c>
    </row>
    <row r="75" spans="2:25">
      <c r="B75" s="13"/>
      <c r="C75" s="14"/>
      <c r="D75" s="14"/>
      <c r="U75" s="13"/>
      <c r="V75" s="12"/>
      <c r="W75" t="str">
        <f t="shared" si="1"/>
        <v/>
      </c>
      <c r="Y75" t="str">
        <f>IF(A75="","",ROUND((J75*4+K75*3+IF(I75="P72",5,IF(I75="P73",4,IF(I75="P74",3,2)))*2+IF(Z75="Sí",5,3))*2,0))</f>
        <v/>
      </c>
    </row>
    <row r="76" spans="2:25">
      <c r="B76" s="13"/>
      <c r="C76" s="14"/>
      <c r="D76" s="14"/>
      <c r="U76" s="13"/>
      <c r="V76" s="12"/>
      <c r="W76" t="str">
        <f t="shared" si="1"/>
        <v/>
      </c>
      <c r="Y76" t="str">
        <f>IF(A76="","",ROUND((J76*4+K76*3+IF(I76="P73",5,IF(I76="P74",4,IF(I76="P75",3,2)))*2+IF(Z76="Sí",5,3))*2,0))</f>
        <v/>
      </c>
    </row>
    <row r="77" spans="2:25">
      <c r="B77" s="13"/>
      <c r="C77" s="14"/>
      <c r="D77" s="14"/>
      <c r="U77" s="13"/>
      <c r="V77" s="12"/>
      <c r="W77" t="str">
        <f t="shared" si="1"/>
        <v/>
      </c>
      <c r="Y77" t="str">
        <f>IF(A77="","",ROUND((J77*4+K77*3+IF(I77="P74",5,IF(I77="P75",4,IF(I77="P76",3,2)))*2+IF(Z77="Sí",5,3))*2,0))</f>
        <v/>
      </c>
    </row>
    <row r="78" spans="2:25">
      <c r="B78" s="13"/>
      <c r="C78" s="14"/>
      <c r="D78" s="14"/>
      <c r="U78" s="13"/>
      <c r="V78" s="12"/>
      <c r="W78" t="str">
        <f t="shared" si="1"/>
        <v/>
      </c>
      <c r="Y78" t="str">
        <f>IF(A78="","",ROUND((J78*4+K78*3+IF(I78="P75",5,IF(I78="P76",4,IF(I78="P77",3,2)))*2+IF(Z78="Sí",5,3))*2,0))</f>
        <v/>
      </c>
    </row>
    <row r="79" spans="2:25">
      <c r="B79" s="13"/>
      <c r="C79" s="14"/>
      <c r="D79" s="14"/>
      <c r="U79" s="13"/>
      <c r="V79" s="12"/>
      <c r="W79" t="str">
        <f t="shared" si="1"/>
        <v/>
      </c>
      <c r="Y79" t="str">
        <f>IF(A79="","",ROUND((J79*4+K79*3+IF(I79="P76",5,IF(I79="P77",4,IF(I79="P78",3,2)))*2+IF(Z79="Sí",5,3))*2,0))</f>
        <v/>
      </c>
    </row>
    <row r="80" spans="2:25">
      <c r="B80" s="13"/>
      <c r="C80" s="14"/>
      <c r="D80" s="14"/>
      <c r="U80" s="13"/>
      <c r="V80" s="12"/>
      <c r="W80" t="str">
        <f t="shared" si="1"/>
        <v/>
      </c>
      <c r="Y80" t="str">
        <f>IF(A80="","",ROUND((J80*4+K80*3+IF(I80="P77",5,IF(I80="P78",4,IF(I80="P79",3,2)))*2+IF(Z80="Sí",5,3))*2,0))</f>
        <v/>
      </c>
    </row>
    <row r="81" spans="2:25">
      <c r="B81" s="13"/>
      <c r="C81" s="14"/>
      <c r="D81" s="14"/>
      <c r="U81" s="13"/>
      <c r="V81" s="12"/>
      <c r="W81" t="str">
        <f t="shared" si="1"/>
        <v/>
      </c>
      <c r="Y81" t="str">
        <f>IF(A81="","",ROUND((J81*4+K81*3+IF(I81="P78",5,IF(I81="P79",4,IF(I81="P80",3,2)))*2+IF(Z81="Sí",5,3))*2,0))</f>
        <v/>
      </c>
    </row>
    <row r="82" spans="2:25">
      <c r="B82" s="13"/>
      <c r="C82" s="14"/>
      <c r="D82" s="14"/>
      <c r="U82" s="13"/>
      <c r="V82" s="12"/>
      <c r="W82" t="str">
        <f t="shared" si="1"/>
        <v/>
      </c>
      <c r="Y82" t="str">
        <f>IF(A82="","",ROUND((J82*4+K82*3+IF(I82="P79",5,IF(I82="P80",4,IF(I82="P81",3,2)))*2+IF(Z82="Sí",5,3))*2,0))</f>
        <v/>
      </c>
    </row>
    <row r="83" spans="2:25">
      <c r="B83" s="13"/>
      <c r="C83" s="14"/>
      <c r="D83" s="14"/>
      <c r="U83" s="13"/>
      <c r="V83" s="12"/>
      <c r="W83" t="str">
        <f t="shared" si="1"/>
        <v/>
      </c>
      <c r="Y83" t="str">
        <f>IF(A83="","",ROUND((J83*4+K83*3+IF(I83="P80",5,IF(I83="P81",4,IF(I83="P82",3,2)))*2+IF(Z83="Sí",5,3))*2,0))</f>
        <v/>
      </c>
    </row>
    <row r="84" spans="2:25">
      <c r="B84" s="13"/>
      <c r="C84" s="14"/>
      <c r="D84" s="14"/>
      <c r="U84" s="13"/>
      <c r="V84" s="12"/>
      <c r="W84" t="str">
        <f t="shared" si="1"/>
        <v/>
      </c>
      <c r="Y84" t="str">
        <f>IF(A84="","",ROUND((J84*4+K84*3+IF(I84="P81",5,IF(I84="P82",4,IF(I84="P83",3,2)))*2+IF(Z84="Sí",5,3))*2,0))</f>
        <v/>
      </c>
    </row>
    <row r="85" spans="2:25">
      <c r="B85" s="13"/>
      <c r="C85" s="14"/>
      <c r="D85" s="14"/>
      <c r="U85" s="13"/>
      <c r="V85" s="12"/>
      <c r="W85" t="str">
        <f t="shared" si="1"/>
        <v/>
      </c>
      <c r="Y85" t="str">
        <f>IF(A85="","",ROUND((J85*4+K85*3+IF(I85="P82",5,IF(I85="P83",4,IF(I85="P84",3,2)))*2+IF(Z85="Sí",5,3))*2,0))</f>
        <v/>
      </c>
    </row>
    <row r="86" spans="2:25">
      <c r="B86" s="13"/>
      <c r="C86" s="14"/>
      <c r="D86" s="14"/>
      <c r="U86" s="13"/>
      <c r="V86" s="12"/>
      <c r="W86" t="str">
        <f t="shared" si="1"/>
        <v/>
      </c>
      <c r="Y86" t="str">
        <f>IF(A86="","",ROUND((J86*4+K86*3+IF(I86="P83",5,IF(I86="P84",4,IF(I86="P85",3,2)))*2+IF(Z86="Sí",5,3))*2,0))</f>
        <v/>
      </c>
    </row>
    <row r="87" spans="2:25">
      <c r="B87" s="13"/>
      <c r="C87" s="14"/>
      <c r="D87" s="14"/>
      <c r="U87" s="13"/>
      <c r="V87" s="12"/>
      <c r="W87" t="str">
        <f t="shared" si="1"/>
        <v/>
      </c>
      <c r="Y87" t="str">
        <f>IF(A87="","",ROUND((J87*4+K87*3+IF(I87="P84",5,IF(I87="P85",4,IF(I87="P86",3,2)))*2+IF(Z87="Sí",5,3))*2,0))</f>
        <v/>
      </c>
    </row>
    <row r="88" spans="2:25">
      <c r="B88" s="13"/>
      <c r="C88" s="14"/>
      <c r="D88" s="14"/>
      <c r="U88" s="13"/>
      <c r="V88" s="12"/>
      <c r="W88" t="str">
        <f t="shared" si="1"/>
        <v/>
      </c>
      <c r="Y88" t="str">
        <f>IF(A88="","",ROUND((J88*4+K88*3+IF(I88="P85",5,IF(I88="P86",4,IF(I88="P87",3,2)))*2+IF(Z88="Sí",5,3))*2,0))</f>
        <v/>
      </c>
    </row>
    <row r="89" spans="2:25">
      <c r="B89" s="13"/>
      <c r="C89" s="14"/>
      <c r="D89" s="14"/>
      <c r="U89" s="13"/>
      <c r="V89" s="12"/>
      <c r="W89" t="str">
        <f t="shared" si="1"/>
        <v/>
      </c>
      <c r="Y89" t="str">
        <f>IF(A89="","",ROUND((J89*4+K89*3+IF(I89="P86",5,IF(I89="P87",4,IF(I89="P88",3,2)))*2+IF(Z89="Sí",5,3))*2,0))</f>
        <v/>
      </c>
    </row>
    <row r="90" spans="2:25">
      <c r="B90" s="13"/>
      <c r="C90" s="14"/>
      <c r="D90" s="14"/>
      <c r="U90" s="13"/>
      <c r="V90" s="12"/>
      <c r="W90" t="str">
        <f t="shared" si="1"/>
        <v/>
      </c>
      <c r="Y90" t="str">
        <f>IF(A90="","",ROUND((J90*4+K90*3+IF(I90="P87",5,IF(I90="P88",4,IF(I90="P89",3,2)))*2+IF(Z90="Sí",5,3))*2,0))</f>
        <v/>
      </c>
    </row>
    <row r="91" spans="2:25">
      <c r="B91" s="13"/>
      <c r="C91" s="14"/>
      <c r="D91" s="14"/>
      <c r="U91" s="13"/>
      <c r="V91" s="12"/>
      <c r="W91" t="str">
        <f t="shared" si="1"/>
        <v/>
      </c>
      <c r="Y91" t="str">
        <f>IF(A91="","",ROUND((J91*4+K91*3+IF(I91="P88",5,IF(I91="P89",4,IF(I91="P90",3,2)))*2+IF(Z91="Sí",5,3))*2,0))</f>
        <v/>
      </c>
    </row>
    <row r="92" spans="2:25">
      <c r="B92" s="13"/>
      <c r="C92" s="14"/>
      <c r="D92" s="14"/>
      <c r="U92" s="13"/>
      <c r="V92" s="12"/>
      <c r="W92" t="str">
        <f t="shared" si="1"/>
        <v/>
      </c>
      <c r="Y92" t="str">
        <f>IF(A92="","",ROUND((J92*4+K92*3+IF(I92="P89",5,IF(I92="P90",4,IF(I92="P91",3,2)))*2+IF(Z92="Sí",5,3))*2,0))</f>
        <v/>
      </c>
    </row>
    <row r="93" spans="2:25">
      <c r="B93" s="13"/>
      <c r="C93" s="14"/>
      <c r="D93" s="14"/>
      <c r="U93" s="13"/>
      <c r="V93" s="12"/>
      <c r="W93" t="str">
        <f t="shared" si="1"/>
        <v/>
      </c>
      <c r="Y93" t="str">
        <f>IF(A93="","",ROUND((J93*4+K93*3+IF(I93="P90",5,IF(I93="P91",4,IF(I93="P92",3,2)))*2+IF(Z93="Sí",5,3))*2,0))</f>
        <v/>
      </c>
    </row>
    <row r="94" spans="2:25">
      <c r="B94" s="13"/>
      <c r="C94" s="14"/>
      <c r="D94" s="14"/>
      <c r="U94" s="13"/>
      <c r="V94" s="12"/>
      <c r="W94" t="str">
        <f t="shared" si="1"/>
        <v/>
      </c>
      <c r="Y94" t="str">
        <f>IF(A94="","",ROUND((J94*4+K94*3+IF(I94="P91",5,IF(I94="P92",4,IF(I94="P93",3,2)))*2+IF(Z94="Sí",5,3))*2,0))</f>
        <v/>
      </c>
    </row>
    <row r="95" spans="2:25">
      <c r="B95" s="13"/>
      <c r="C95" s="14"/>
      <c r="D95" s="14"/>
      <c r="U95" s="13"/>
      <c r="V95" s="12"/>
      <c r="W95" t="str">
        <f t="shared" si="1"/>
        <v/>
      </c>
      <c r="Y95" t="str">
        <f>IF(A95="","",ROUND((J95*4+K95*3+IF(I95="P92",5,IF(I95="P93",4,IF(I95="P94",3,2)))*2+IF(Z95="Sí",5,3))*2,0))</f>
        <v/>
      </c>
    </row>
    <row r="96" spans="2:25">
      <c r="B96" s="13"/>
      <c r="C96" s="14"/>
      <c r="D96" s="14"/>
      <c r="U96" s="13"/>
      <c r="V96" s="12"/>
      <c r="W96" t="str">
        <f t="shared" si="1"/>
        <v/>
      </c>
      <c r="Y96" t="str">
        <f>IF(A96="","",ROUND((J96*4+K96*3+IF(I96="P93",5,IF(I96="P94",4,IF(I96="P95",3,2)))*2+IF(Z96="Sí",5,3))*2,0))</f>
        <v/>
      </c>
    </row>
    <row r="97" spans="2:25">
      <c r="B97" s="13"/>
      <c r="C97" s="14"/>
      <c r="D97" s="14"/>
      <c r="U97" s="13"/>
      <c r="V97" s="12"/>
      <c r="W97" t="str">
        <f t="shared" si="1"/>
        <v/>
      </c>
      <c r="Y97" t="str">
        <f>IF(A97="","",ROUND((J97*4+K97*3+IF(I97="P94",5,IF(I97="P95",4,IF(I97="P96",3,2)))*2+IF(Z97="Sí",5,3))*2,0))</f>
        <v/>
      </c>
    </row>
    <row r="98" spans="2:25">
      <c r="B98" s="13"/>
      <c r="C98" s="14"/>
      <c r="D98" s="14"/>
      <c r="U98" s="13"/>
      <c r="V98" s="12"/>
      <c r="W98" t="str">
        <f t="shared" si="1"/>
        <v/>
      </c>
      <c r="Y98" t="str">
        <f>IF(A98="","",ROUND((J98*4+K98*3+IF(I98="P95",5,IF(I98="P96",4,IF(I98="P97",3,2)))*2+IF(Z98="Sí",5,3))*2,0))</f>
        <v/>
      </c>
    </row>
    <row r="99" spans="2:25">
      <c r="B99" s="13"/>
      <c r="C99" s="14"/>
      <c r="D99" s="14"/>
      <c r="U99" s="13"/>
      <c r="V99" s="12"/>
      <c r="W99" t="str">
        <f t="shared" si="1"/>
        <v/>
      </c>
      <c r="Y99" t="str">
        <f>IF(A99="","",ROUND((J99*4+K99*3+IF(I99="P96",5,IF(I99="P97",4,IF(I99="P98",3,2)))*2+IF(Z99="Sí",5,3))*2,0))</f>
        <v/>
      </c>
    </row>
    <row r="100" spans="2:25">
      <c r="B100" s="13"/>
      <c r="C100" s="14"/>
      <c r="D100" s="14"/>
      <c r="U100" s="13"/>
      <c r="V100" s="12"/>
      <c r="W100" t="str">
        <f t="shared" si="1"/>
        <v/>
      </c>
      <c r="Y100" t="str">
        <f>IF(A100="","",ROUND((J100*4+K100*3+IF(I100="P97",5,IF(I100="P98",4,IF(I100="P99",3,2)))*2+IF(Z100="Sí",5,3))*2,0))</f>
        <v/>
      </c>
    </row>
    <row r="101" spans="2:25">
      <c r="B101" s="13"/>
      <c r="C101" s="14"/>
      <c r="D101" s="14"/>
      <c r="U101" s="13"/>
      <c r="V101" s="12"/>
      <c r="W101" t="str">
        <f t="shared" si="1"/>
        <v/>
      </c>
      <c r="Y101" t="str">
        <f>IF(A101="","",ROUND((J101*4+K101*3+IF(I101="P98",5,IF(I101="P99",4,IF(I101="P100",3,2)))*2+IF(Z101="Sí",5,3))*2,0))</f>
        <v/>
      </c>
    </row>
    <row r="102" spans="2:25">
      <c r="B102" s="13"/>
      <c r="C102" s="14"/>
      <c r="D102" s="14"/>
      <c r="U102" s="13"/>
      <c r="V102" s="12"/>
      <c r="W102" t="str">
        <f t="shared" si="1"/>
        <v/>
      </c>
      <c r="Y102" t="str">
        <f>IF(A102="","",ROUND((J102*4+K102*3+IF(I102="P99",5,IF(I102="P100",4,IF(I102="P101",3,2)))*2+IF(Z102="Sí",5,3))*2,0))</f>
        <v/>
      </c>
    </row>
    <row r="103" spans="2:25">
      <c r="B103" s="13"/>
      <c r="C103" s="14"/>
      <c r="D103" s="14"/>
      <c r="U103" s="13"/>
      <c r="V103" s="12"/>
      <c r="W103" t="str">
        <f t="shared" si="1"/>
        <v/>
      </c>
      <c r="Y103" t="str">
        <f>IF(A103="","",ROUND((J103*4+K103*3+IF(I103="P100",5,IF(I103="P101",4,IF(I103="P102",3,2)))*2+IF(Z103="Sí",5,3))*2,0))</f>
        <v/>
      </c>
    </row>
    <row r="104" spans="2:25">
      <c r="B104" s="13"/>
      <c r="C104" s="14"/>
      <c r="D104" s="14"/>
      <c r="U104" s="13"/>
      <c r="V104" s="12"/>
      <c r="W104" t="str">
        <f t="shared" si="1"/>
        <v/>
      </c>
      <c r="Y104" t="str">
        <f>IF(A104="","",ROUND((J104*4+K104*3+IF(I104="P101",5,IF(I104="P102",4,IF(I104="P103",3,2)))*2+IF(Z104="Sí",5,3))*2,0))</f>
        <v/>
      </c>
    </row>
    <row r="105" spans="2:25">
      <c r="B105" s="13"/>
      <c r="C105" s="14"/>
      <c r="D105" s="14"/>
      <c r="U105" s="13"/>
      <c r="V105" s="12"/>
      <c r="W105" t="str">
        <f t="shared" si="1"/>
        <v/>
      </c>
      <c r="Y105" t="str">
        <f>IF(A105="","",ROUND((J105*4+K105*3+IF(I105="P102",5,IF(I105="P103",4,IF(I105="P104",3,2)))*2+IF(Z105="Sí",5,3))*2,0))</f>
        <v/>
      </c>
    </row>
    <row r="106" spans="2:25">
      <c r="B106" s="13"/>
      <c r="C106" s="14"/>
      <c r="D106" s="14"/>
      <c r="U106" s="13"/>
      <c r="V106" s="12"/>
      <c r="W106" t="str">
        <f t="shared" si="1"/>
        <v/>
      </c>
      <c r="Y106" t="str">
        <f>IF(A106="","",ROUND((J106*4+K106*3+IF(I106="P103",5,IF(I106="P104",4,IF(I106="P105",3,2)))*2+IF(Z106="Sí",5,3))*2,0))</f>
        <v/>
      </c>
    </row>
    <row r="107" spans="2:25">
      <c r="B107" s="13"/>
      <c r="C107" s="14"/>
      <c r="D107" s="14"/>
      <c r="U107" s="13"/>
      <c r="V107" s="12"/>
      <c r="W107" t="str">
        <f t="shared" si="1"/>
        <v/>
      </c>
      <c r="Y107" t="str">
        <f>IF(A107="","",ROUND((J107*4+K107*3+IF(I107="P104",5,IF(I107="P105",4,IF(I107="P106",3,2)))*2+IF(Z107="Sí",5,3))*2,0))</f>
        <v/>
      </c>
    </row>
    <row r="108" spans="2:25">
      <c r="B108" s="13"/>
      <c r="C108" s="14"/>
      <c r="D108" s="14"/>
      <c r="U108" s="13"/>
      <c r="V108" s="12"/>
      <c r="W108" t="str">
        <f t="shared" si="1"/>
        <v/>
      </c>
      <c r="Y108" t="str">
        <f>IF(A108="","",ROUND((J108*4+K108*3+IF(I108="P105",5,IF(I108="P106",4,IF(I108="P107",3,2)))*2+IF(Z108="Sí",5,3))*2,0))</f>
        <v/>
      </c>
    </row>
    <row r="109" spans="2:25">
      <c r="B109" s="13"/>
      <c r="C109" s="14"/>
      <c r="D109" s="14"/>
      <c r="U109" s="13"/>
      <c r="V109" s="12"/>
      <c r="W109" t="str">
        <f t="shared" si="1"/>
        <v/>
      </c>
      <c r="Y109" t="str">
        <f>IF(A109="","",ROUND((J109*4+K109*3+IF(I109="P106",5,IF(I109="P107",4,IF(I109="P108",3,2)))*2+IF(Z109="Sí",5,3))*2,0))</f>
        <v/>
      </c>
    </row>
    <row r="110" spans="2:25">
      <c r="B110" s="13"/>
      <c r="C110" s="14"/>
      <c r="D110" s="14"/>
      <c r="U110" s="13"/>
      <c r="V110" s="12"/>
      <c r="W110" t="str">
        <f t="shared" si="1"/>
        <v/>
      </c>
      <c r="Y110" t="str">
        <f>IF(A110="","",ROUND((J110*4+K110*3+IF(I110="P107",5,IF(I110="P108",4,IF(I110="P109",3,2)))*2+IF(Z110="Sí",5,3))*2,0))</f>
        <v/>
      </c>
    </row>
    <row r="111" spans="2:25">
      <c r="B111" s="13"/>
      <c r="C111" s="14"/>
      <c r="D111" s="14"/>
      <c r="U111" s="13"/>
      <c r="V111" s="12"/>
      <c r="W111" t="str">
        <f t="shared" si="1"/>
        <v/>
      </c>
      <c r="Y111" t="str">
        <f>IF(A111="","",ROUND((J111*4+K111*3+IF(I111="P108",5,IF(I111="P109",4,IF(I111="P110",3,2)))*2+IF(Z111="Sí",5,3))*2,0))</f>
        <v/>
      </c>
    </row>
    <row r="112" spans="2:25">
      <c r="B112" s="13"/>
      <c r="C112" s="14"/>
      <c r="D112" s="14"/>
      <c r="U112" s="13"/>
      <c r="V112" s="12"/>
      <c r="W112" t="str">
        <f t="shared" si="1"/>
        <v/>
      </c>
      <c r="Y112" t="str">
        <f>IF(A112="","",ROUND((J112*4+K112*3+IF(I112="P109",5,IF(I112="P110",4,IF(I112="P111",3,2)))*2+IF(Z112="Sí",5,3))*2,0))</f>
        <v/>
      </c>
    </row>
    <row r="113" spans="2:25">
      <c r="B113" s="13"/>
      <c r="C113" s="14"/>
      <c r="D113" s="14"/>
      <c r="U113" s="13"/>
      <c r="V113" s="12"/>
      <c r="W113" t="str">
        <f t="shared" si="1"/>
        <v/>
      </c>
      <c r="Y113" t="str">
        <f>IF(A113="","",ROUND((J113*4+K113*3+IF(I113="P110",5,IF(I113="P111",4,IF(I113="P112",3,2)))*2+IF(Z113="Sí",5,3))*2,0))</f>
        <v/>
      </c>
    </row>
    <row r="114" spans="2:25">
      <c r="B114" s="13"/>
      <c r="C114" s="14"/>
      <c r="D114" s="14"/>
      <c r="U114" s="13"/>
      <c r="V114" s="12"/>
      <c r="W114" t="str">
        <f t="shared" si="1"/>
        <v/>
      </c>
      <c r="Y114" t="str">
        <f>IF(A114="","",ROUND((J114*4+K114*3+IF(I114="P111",5,IF(I114="P112",4,IF(I114="P113",3,2)))*2+IF(Z114="Sí",5,3))*2,0))</f>
        <v/>
      </c>
    </row>
    <row r="115" spans="2:25">
      <c r="B115" s="13"/>
      <c r="C115" s="14"/>
      <c r="D115" s="14"/>
      <c r="U115" s="13"/>
      <c r="V115" s="12"/>
      <c r="W115" t="str">
        <f t="shared" si="1"/>
        <v/>
      </c>
      <c r="Y115" t="str">
        <f>IF(A115="","",ROUND((J115*4+K115*3+IF(I115="P112",5,IF(I115="P113",4,IF(I115="P114",3,2)))*2+IF(Z115="Sí",5,3))*2,0))</f>
        <v/>
      </c>
    </row>
    <row r="116" spans="2:25">
      <c r="B116" s="13"/>
      <c r="C116" s="14"/>
      <c r="D116" s="14"/>
      <c r="U116" s="13"/>
      <c r="V116" s="12"/>
      <c r="W116" t="str">
        <f t="shared" si="1"/>
        <v/>
      </c>
      <c r="Y116" t="str">
        <f>IF(A116="","",ROUND((J116*4+K116*3+IF(I116="P113",5,IF(I116="P114",4,IF(I116="P115",3,2)))*2+IF(Z116="Sí",5,3))*2,0))</f>
        <v/>
      </c>
    </row>
    <row r="117" spans="2:25">
      <c r="B117" s="13"/>
      <c r="C117" s="14"/>
      <c r="D117" s="14"/>
      <c r="U117" s="13"/>
      <c r="V117" s="12"/>
      <c r="W117" t="str">
        <f t="shared" si="1"/>
        <v/>
      </c>
      <c r="Y117" t="str">
        <f>IF(A117="","",ROUND((J117*4+K117*3+IF(I117="P114",5,IF(I117="P115",4,IF(I117="P116",3,2)))*2+IF(Z117="Sí",5,3))*2,0))</f>
        <v/>
      </c>
    </row>
    <row r="118" spans="2:25">
      <c r="B118" s="13"/>
      <c r="C118" s="14"/>
      <c r="D118" s="14"/>
      <c r="U118" s="13"/>
      <c r="V118" s="12"/>
      <c r="W118" t="str">
        <f t="shared" si="1"/>
        <v/>
      </c>
      <c r="Y118" t="str">
        <f>IF(A118="","",ROUND((J118*4+K118*3+IF(I118="P115",5,IF(I118="P116",4,IF(I118="P117",3,2)))*2+IF(Z118="Sí",5,3))*2,0))</f>
        <v/>
      </c>
    </row>
    <row r="119" spans="2:25">
      <c r="B119" s="13"/>
      <c r="C119" s="14"/>
      <c r="D119" s="14"/>
      <c r="U119" s="13"/>
      <c r="V119" s="12"/>
      <c r="W119" t="str">
        <f t="shared" si="1"/>
        <v/>
      </c>
      <c r="Y119" t="str">
        <f>IF(A119="","",ROUND((J119*4+K119*3+IF(I119="P116",5,IF(I119="P117",4,IF(I119="P118",3,2)))*2+IF(Z119="Sí",5,3))*2,0))</f>
        <v/>
      </c>
    </row>
    <row r="120" spans="2:25">
      <c r="B120" s="13"/>
      <c r="C120" s="14"/>
      <c r="D120" s="14"/>
      <c r="U120" s="13"/>
      <c r="V120" s="12"/>
      <c r="W120" t="str">
        <f t="shared" si="1"/>
        <v/>
      </c>
      <c r="Y120" t="str">
        <f>IF(A120="","",ROUND((J120*4+K120*3+IF(I120="P117",5,IF(I120="P118",4,IF(I120="P119",3,2)))*2+IF(Z120="Sí",5,3))*2,0))</f>
        <v/>
      </c>
    </row>
    <row r="121" spans="2:25">
      <c r="B121" s="13"/>
      <c r="C121" s="14"/>
      <c r="D121" s="14"/>
      <c r="U121" s="13"/>
      <c r="V121" s="12"/>
      <c r="W121" t="str">
        <f t="shared" si="1"/>
        <v/>
      </c>
      <c r="Y121" t="str">
        <f>IF(A121="","",ROUND((J121*4+K121*3+IF(I121="P118",5,IF(I121="P119",4,IF(I121="P120",3,2)))*2+IF(Z121="Sí",5,3))*2,0))</f>
        <v/>
      </c>
    </row>
    <row r="122" spans="2:25">
      <c r="B122" s="13"/>
      <c r="C122" s="14"/>
      <c r="D122" s="14"/>
      <c r="U122" s="13"/>
      <c r="V122" s="12"/>
      <c r="W122" t="str">
        <f t="shared" si="1"/>
        <v/>
      </c>
      <c r="Y122" t="str">
        <f>IF(A122="","",ROUND((J122*4+K122*3+IF(I122="P119",5,IF(I122="P120",4,IF(I122="P121",3,2)))*2+IF(Z122="Sí",5,3))*2,0))</f>
        <v/>
      </c>
    </row>
    <row r="123" spans="2:25">
      <c r="B123" s="13"/>
      <c r="C123" s="14"/>
      <c r="D123" s="14"/>
      <c r="U123" s="13"/>
      <c r="V123" s="12"/>
      <c r="W123" t="str">
        <f t="shared" si="1"/>
        <v/>
      </c>
      <c r="Y123" t="str">
        <f>IF(A123="","",ROUND((J123*4+K123*3+IF(I123="P120",5,IF(I123="P121",4,IF(I123="P122",3,2)))*2+IF(Z123="Sí",5,3))*2,0))</f>
        <v/>
      </c>
    </row>
    <row r="124" spans="2:25">
      <c r="B124" s="13"/>
      <c r="C124" s="14"/>
      <c r="D124" s="14"/>
      <c r="U124" s="13"/>
      <c r="V124" s="12"/>
      <c r="W124" t="str">
        <f t="shared" si="1"/>
        <v/>
      </c>
      <c r="Y124" t="str">
        <f>IF(A124="","",ROUND((J124*4+K124*3+IF(I124="P121",5,IF(I124="P122",4,IF(I124="P123",3,2)))*2+IF(Z124="Sí",5,3))*2,0))</f>
        <v/>
      </c>
    </row>
    <row r="125" spans="2:25">
      <c r="B125" s="13"/>
      <c r="C125" s="14"/>
      <c r="D125" s="14"/>
      <c r="U125" s="13"/>
      <c r="V125" s="12"/>
      <c r="W125" t="str">
        <f t="shared" si="1"/>
        <v/>
      </c>
      <c r="Y125" t="str">
        <f>IF(A125="","",ROUND((J125*4+K125*3+IF(I125="P122",5,IF(I125="P123",4,IF(I125="P124",3,2)))*2+IF(Z125="Sí",5,3))*2,0))</f>
        <v/>
      </c>
    </row>
    <row r="126" spans="2:25">
      <c r="B126" s="13"/>
      <c r="C126" s="14"/>
      <c r="D126" s="14"/>
      <c r="U126" s="13"/>
      <c r="V126" s="12"/>
      <c r="W126" t="str">
        <f t="shared" si="1"/>
        <v/>
      </c>
      <c r="Y126" t="str">
        <f>IF(A126="","",ROUND((J126*4+K126*3+IF(I126="P123",5,IF(I126="P124",4,IF(I126="P125",3,2)))*2+IF(Z126="Sí",5,3))*2,0))</f>
        <v/>
      </c>
    </row>
    <row r="127" spans="2:25">
      <c r="B127" s="13"/>
      <c r="C127" s="14"/>
      <c r="D127" s="14"/>
      <c r="U127" s="13"/>
      <c r="V127" s="12"/>
      <c r="W127" t="str">
        <f t="shared" si="1"/>
        <v/>
      </c>
      <c r="Y127" t="str">
        <f>IF(A127="","",ROUND((J127*4+K127*3+IF(I127="P124",5,IF(I127="P125",4,IF(I127="P126",3,2)))*2+IF(Z127="Sí",5,3))*2,0))</f>
        <v/>
      </c>
    </row>
    <row r="128" spans="2:25">
      <c r="B128" s="13"/>
      <c r="C128" s="14"/>
      <c r="D128" s="14"/>
      <c r="U128" s="13"/>
      <c r="V128" s="12"/>
      <c r="W128" t="str">
        <f t="shared" si="1"/>
        <v/>
      </c>
      <c r="Y128" t="str">
        <f>IF(A128="","",ROUND((J128*4+K128*3+IF(I128="P125",5,IF(I128="P126",4,IF(I128="P127",3,2)))*2+IF(Z128="Sí",5,3))*2,0))</f>
        <v/>
      </c>
    </row>
    <row r="129" spans="2:25">
      <c r="B129" s="13"/>
      <c r="C129" s="14"/>
      <c r="D129" s="14"/>
      <c r="U129" s="13"/>
      <c r="V129" s="12"/>
      <c r="W129" t="str">
        <f t="shared" si="1"/>
        <v/>
      </c>
      <c r="Y129" t="str">
        <f>IF(A129="","",ROUND((J129*4+K129*3+IF(I129="P126",5,IF(I129="P127",4,IF(I129="P128",3,2)))*2+IF(Z129="Sí",5,3))*2,0))</f>
        <v/>
      </c>
    </row>
    <row r="130" spans="2:25">
      <c r="B130" s="13"/>
      <c r="C130" s="14"/>
      <c r="D130" s="14"/>
      <c r="U130" s="13"/>
      <c r="V130" s="12"/>
      <c r="W130" t="str">
        <f t="shared" si="1"/>
        <v/>
      </c>
      <c r="Y130" t="str">
        <f>IF(A130="","",ROUND((J130*4+K130*3+IF(I130="P127",5,IF(I130="P128",4,IF(I130="P129",3,2)))*2+IF(Z130="Sí",5,3))*2,0))</f>
        <v/>
      </c>
    </row>
    <row r="131" spans="2:25">
      <c r="B131" s="13"/>
      <c r="C131" s="14"/>
      <c r="D131" s="14"/>
      <c r="U131" s="13"/>
      <c r="V131" s="12"/>
      <c r="W131" t="str">
        <f t="shared" si="1"/>
        <v/>
      </c>
      <c r="Y131" t="str">
        <f>IF(A131="","",ROUND((J131*4+K131*3+IF(I131="P128",5,IF(I131="P129",4,IF(I131="P130",3,2)))*2+IF(Z131="Sí",5,3))*2,0))</f>
        <v/>
      </c>
    </row>
    <row r="132" spans="2:25">
      <c r="B132" s="13"/>
      <c r="C132" s="14"/>
      <c r="D132" s="14"/>
      <c r="U132" s="13"/>
      <c r="V132" s="12"/>
      <c r="W132" t="str">
        <f t="shared" ref="W132:W195" si="2">IF(OR(C132="",D132=""),"",ROUND((D132-C132)*1440,0))</f>
        <v/>
      </c>
      <c r="Y132" t="str">
        <f>IF(A132="","",ROUND((J132*4+K132*3+IF(I132="P129",5,IF(I132="P130",4,IF(I132="P131",3,2)))*2+IF(Z132="Sí",5,3))*2,0))</f>
        <v/>
      </c>
    </row>
    <row r="133" spans="2:25">
      <c r="B133" s="13"/>
      <c r="C133" s="14"/>
      <c r="D133" s="14"/>
      <c r="U133" s="13"/>
      <c r="V133" s="12"/>
      <c r="W133" t="str">
        <f t="shared" si="2"/>
        <v/>
      </c>
      <c r="Y133" t="str">
        <f>IF(A133="","",ROUND((J133*4+K133*3+IF(I133="P130",5,IF(I133="P131",4,IF(I133="P132",3,2)))*2+IF(Z133="Sí",5,3))*2,0))</f>
        <v/>
      </c>
    </row>
    <row r="134" spans="2:25">
      <c r="B134" s="13"/>
      <c r="C134" s="14"/>
      <c r="D134" s="14"/>
      <c r="U134" s="13"/>
      <c r="V134" s="12"/>
      <c r="W134" t="str">
        <f t="shared" si="2"/>
        <v/>
      </c>
      <c r="Y134" t="str">
        <f>IF(A134="","",ROUND((J134*4+K134*3+IF(I134="P131",5,IF(I134="P132",4,IF(I134="P133",3,2)))*2+IF(Z134="Sí",5,3))*2,0))</f>
        <v/>
      </c>
    </row>
    <row r="135" spans="2:25">
      <c r="B135" s="13"/>
      <c r="C135" s="14"/>
      <c r="D135" s="14"/>
      <c r="U135" s="13"/>
      <c r="V135" s="12"/>
      <c r="W135" t="str">
        <f t="shared" si="2"/>
        <v/>
      </c>
      <c r="Y135" t="str">
        <f>IF(A135="","",ROUND((J135*4+K135*3+IF(I135="P132",5,IF(I135="P133",4,IF(I135="P134",3,2)))*2+IF(Z135="Sí",5,3))*2,0))</f>
        <v/>
      </c>
    </row>
    <row r="136" spans="2:25">
      <c r="B136" s="13"/>
      <c r="C136" s="14"/>
      <c r="D136" s="14"/>
      <c r="U136" s="13"/>
      <c r="V136" s="12"/>
      <c r="W136" t="str">
        <f t="shared" si="2"/>
        <v/>
      </c>
      <c r="Y136" t="str">
        <f>IF(A136="","",ROUND((J136*4+K136*3+IF(I136="P133",5,IF(I136="P134",4,IF(I136="P135",3,2)))*2+IF(Z136="Sí",5,3))*2,0))</f>
        <v/>
      </c>
    </row>
    <row r="137" spans="2:25">
      <c r="B137" s="13"/>
      <c r="C137" s="14"/>
      <c r="D137" s="14"/>
      <c r="U137" s="13"/>
      <c r="V137" s="12"/>
      <c r="W137" t="str">
        <f t="shared" si="2"/>
        <v/>
      </c>
      <c r="Y137" t="str">
        <f>IF(A137="","",ROUND((J137*4+K137*3+IF(I137="P134",5,IF(I137="P135",4,IF(I137="P136",3,2)))*2+IF(Z137="Sí",5,3))*2,0))</f>
        <v/>
      </c>
    </row>
    <row r="138" spans="2:25">
      <c r="B138" s="13"/>
      <c r="C138" s="14"/>
      <c r="D138" s="14"/>
      <c r="U138" s="13"/>
      <c r="V138" s="12"/>
      <c r="W138" t="str">
        <f t="shared" si="2"/>
        <v/>
      </c>
      <c r="Y138" t="str">
        <f>IF(A138="","",ROUND((J138*4+K138*3+IF(I138="P135",5,IF(I138="P136",4,IF(I138="P137",3,2)))*2+IF(Z138="Sí",5,3))*2,0))</f>
        <v/>
      </c>
    </row>
    <row r="139" spans="2:25">
      <c r="B139" s="13"/>
      <c r="C139" s="14"/>
      <c r="D139" s="14"/>
      <c r="U139" s="13"/>
      <c r="V139" s="12"/>
      <c r="W139" t="str">
        <f t="shared" si="2"/>
        <v/>
      </c>
      <c r="Y139" t="str">
        <f>IF(A139="","",ROUND((J139*4+K139*3+IF(I139="P136",5,IF(I139="P137",4,IF(I139="P138",3,2)))*2+IF(Z139="Sí",5,3))*2,0))</f>
        <v/>
      </c>
    </row>
    <row r="140" spans="2:25">
      <c r="B140" s="13"/>
      <c r="C140" s="14"/>
      <c r="D140" s="14"/>
      <c r="U140" s="13"/>
      <c r="V140" s="12"/>
      <c r="W140" t="str">
        <f t="shared" si="2"/>
        <v/>
      </c>
      <c r="Y140" t="str">
        <f>IF(A140="","",ROUND((J140*4+K140*3+IF(I140="P137",5,IF(I140="P138",4,IF(I140="P139",3,2)))*2+IF(Z140="Sí",5,3))*2,0))</f>
        <v/>
      </c>
    </row>
    <row r="141" spans="2:25">
      <c r="B141" s="13"/>
      <c r="C141" s="14"/>
      <c r="D141" s="14"/>
      <c r="U141" s="13"/>
      <c r="V141" s="12"/>
      <c r="W141" t="str">
        <f t="shared" si="2"/>
        <v/>
      </c>
      <c r="Y141" t="str">
        <f>IF(A141="","",ROUND((J141*4+K141*3+IF(I141="P138",5,IF(I141="P139",4,IF(I141="P140",3,2)))*2+IF(Z141="Sí",5,3))*2,0))</f>
        <v/>
      </c>
    </row>
    <row r="142" spans="2:25">
      <c r="B142" s="13"/>
      <c r="C142" s="14"/>
      <c r="D142" s="14"/>
      <c r="U142" s="13"/>
      <c r="V142" s="12"/>
      <c r="W142" t="str">
        <f t="shared" si="2"/>
        <v/>
      </c>
      <c r="Y142" t="str">
        <f>IF(A142="","",ROUND((J142*4+K142*3+IF(I142="P139",5,IF(I142="P140",4,IF(I142="P141",3,2)))*2+IF(Z142="Sí",5,3))*2,0))</f>
        <v/>
      </c>
    </row>
    <row r="143" spans="2:25">
      <c r="B143" s="13"/>
      <c r="C143" s="14"/>
      <c r="D143" s="14"/>
      <c r="U143" s="13"/>
      <c r="V143" s="12"/>
      <c r="W143" t="str">
        <f t="shared" si="2"/>
        <v/>
      </c>
      <c r="Y143" t="str">
        <f>IF(A143="","",ROUND((J143*4+K143*3+IF(I143="P140",5,IF(I143="P141",4,IF(I143="P142",3,2)))*2+IF(Z143="Sí",5,3))*2,0))</f>
        <v/>
      </c>
    </row>
    <row r="144" spans="2:25">
      <c r="B144" s="13"/>
      <c r="C144" s="14"/>
      <c r="D144" s="14"/>
      <c r="U144" s="13"/>
      <c r="V144" s="12"/>
      <c r="W144" t="str">
        <f t="shared" si="2"/>
        <v/>
      </c>
      <c r="Y144" t="str">
        <f>IF(A144="","",ROUND((J144*4+K144*3+IF(I144="P141",5,IF(I144="P142",4,IF(I144="P143",3,2)))*2+IF(Z144="Sí",5,3))*2,0))</f>
        <v/>
      </c>
    </row>
    <row r="145" spans="2:25">
      <c r="B145" s="13"/>
      <c r="C145" s="14"/>
      <c r="D145" s="14"/>
      <c r="U145" s="13"/>
      <c r="V145" s="12"/>
      <c r="W145" t="str">
        <f t="shared" si="2"/>
        <v/>
      </c>
      <c r="Y145" t="str">
        <f>IF(A145="","",ROUND((J145*4+K145*3+IF(I145="P142",5,IF(I145="P143",4,IF(I145="P144",3,2)))*2+IF(Z145="Sí",5,3))*2,0))</f>
        <v/>
      </c>
    </row>
    <row r="146" spans="2:25">
      <c r="B146" s="13"/>
      <c r="C146" s="14"/>
      <c r="D146" s="14"/>
      <c r="U146" s="13"/>
      <c r="V146" s="12"/>
      <c r="W146" t="str">
        <f t="shared" si="2"/>
        <v/>
      </c>
      <c r="Y146" t="str">
        <f>IF(A146="","",ROUND((J146*4+K146*3+IF(I146="P143",5,IF(I146="P144",4,IF(I146="P145",3,2)))*2+IF(Z146="Sí",5,3))*2,0))</f>
        <v/>
      </c>
    </row>
    <row r="147" spans="2:25">
      <c r="B147" s="13"/>
      <c r="C147" s="14"/>
      <c r="D147" s="14"/>
      <c r="U147" s="13"/>
      <c r="V147" s="12"/>
      <c r="W147" t="str">
        <f t="shared" si="2"/>
        <v/>
      </c>
      <c r="Y147" t="str">
        <f>IF(A147="","",ROUND((J147*4+K147*3+IF(I147="P144",5,IF(I147="P145",4,IF(I147="P146",3,2)))*2+IF(Z147="Sí",5,3))*2,0))</f>
        <v/>
      </c>
    </row>
    <row r="148" spans="2:25">
      <c r="B148" s="13"/>
      <c r="C148" s="14"/>
      <c r="D148" s="14"/>
      <c r="U148" s="13"/>
      <c r="V148" s="12"/>
      <c r="W148" t="str">
        <f t="shared" si="2"/>
        <v/>
      </c>
      <c r="Y148" t="str">
        <f>IF(A148="","",ROUND((J148*4+K148*3+IF(I148="P145",5,IF(I148="P146",4,IF(I148="P147",3,2)))*2+IF(Z148="Sí",5,3))*2,0))</f>
        <v/>
      </c>
    </row>
    <row r="149" spans="2:25">
      <c r="B149" s="13"/>
      <c r="C149" s="14"/>
      <c r="D149" s="14"/>
      <c r="U149" s="13"/>
      <c r="V149" s="12"/>
      <c r="W149" t="str">
        <f t="shared" si="2"/>
        <v/>
      </c>
      <c r="Y149" t="str">
        <f>IF(A149="","",ROUND((J149*4+K149*3+IF(I149="P146",5,IF(I149="P147",4,IF(I149="P148",3,2)))*2+IF(Z149="Sí",5,3))*2,0))</f>
        <v/>
      </c>
    </row>
    <row r="150" spans="2:25">
      <c r="B150" s="13"/>
      <c r="C150" s="14"/>
      <c r="D150" s="14"/>
      <c r="U150" s="13"/>
      <c r="V150" s="12"/>
      <c r="W150" t="str">
        <f t="shared" si="2"/>
        <v/>
      </c>
      <c r="Y150" t="str">
        <f>IF(A150="","",ROUND((J150*4+K150*3+IF(I150="P147",5,IF(I150="P148",4,IF(I150="P149",3,2)))*2+IF(Z150="Sí",5,3))*2,0))</f>
        <v/>
      </c>
    </row>
    <row r="151" spans="2:25">
      <c r="B151" s="13"/>
      <c r="C151" s="14"/>
      <c r="D151" s="14"/>
      <c r="U151" s="13"/>
      <c r="V151" s="12"/>
      <c r="W151" t="str">
        <f t="shared" si="2"/>
        <v/>
      </c>
      <c r="Y151" t="str">
        <f>IF(A151="","",ROUND((J151*4+K151*3+IF(I151="P148",5,IF(I151="P149",4,IF(I151="P150",3,2)))*2+IF(Z151="Sí",5,3))*2,0))</f>
        <v/>
      </c>
    </row>
    <row r="152" spans="2:25">
      <c r="B152" s="13"/>
      <c r="C152" s="14"/>
      <c r="D152" s="14"/>
      <c r="U152" s="13"/>
      <c r="V152" s="12"/>
      <c r="W152" t="str">
        <f t="shared" si="2"/>
        <v/>
      </c>
      <c r="Y152" t="str">
        <f>IF(A152="","",ROUND((J152*4+K152*3+IF(I152="P149",5,IF(I152="P150",4,IF(I152="P151",3,2)))*2+IF(Z152="Sí",5,3))*2,0))</f>
        <v/>
      </c>
    </row>
    <row r="153" spans="2:25">
      <c r="B153" s="13"/>
      <c r="C153" s="14"/>
      <c r="D153" s="14"/>
      <c r="U153" s="13"/>
      <c r="V153" s="12"/>
      <c r="W153" t="str">
        <f t="shared" si="2"/>
        <v/>
      </c>
      <c r="Y153" t="str">
        <f>IF(A153="","",ROUND((J153*4+K153*3+IF(I153="P150",5,IF(I153="P151",4,IF(I153="P152",3,2)))*2+IF(Z153="Sí",5,3))*2,0))</f>
        <v/>
      </c>
    </row>
    <row r="154" spans="2:25">
      <c r="B154" s="13"/>
      <c r="C154" s="14"/>
      <c r="D154" s="14"/>
      <c r="U154" s="13"/>
      <c r="V154" s="12"/>
      <c r="W154" t="str">
        <f t="shared" si="2"/>
        <v/>
      </c>
      <c r="Y154" t="str">
        <f>IF(A154="","",ROUND((J154*4+K154*3+IF(I154="P151",5,IF(I154="P152",4,IF(I154="P153",3,2)))*2+IF(Z154="Sí",5,3))*2,0))</f>
        <v/>
      </c>
    </row>
    <row r="155" spans="2:25">
      <c r="B155" s="13"/>
      <c r="C155" s="14"/>
      <c r="D155" s="14"/>
      <c r="U155" s="13"/>
      <c r="V155" s="12"/>
      <c r="W155" t="str">
        <f t="shared" si="2"/>
        <v/>
      </c>
      <c r="Y155" t="str">
        <f>IF(A155="","",ROUND((J155*4+K155*3+IF(I155="P152",5,IF(I155="P153",4,IF(I155="P154",3,2)))*2+IF(Z155="Sí",5,3))*2,0))</f>
        <v/>
      </c>
    </row>
    <row r="156" spans="2:25">
      <c r="B156" s="13"/>
      <c r="C156" s="14"/>
      <c r="D156" s="14"/>
      <c r="U156" s="13"/>
      <c r="V156" s="12"/>
      <c r="W156" t="str">
        <f t="shared" si="2"/>
        <v/>
      </c>
      <c r="Y156" t="str">
        <f>IF(A156="","",ROUND((J156*4+K156*3+IF(I156="P153",5,IF(I156="P154",4,IF(I156="P155",3,2)))*2+IF(Z156="Sí",5,3))*2,0))</f>
        <v/>
      </c>
    </row>
    <row r="157" spans="2:25">
      <c r="B157" s="13"/>
      <c r="C157" s="14"/>
      <c r="D157" s="14"/>
      <c r="U157" s="13"/>
      <c r="V157" s="12"/>
      <c r="W157" t="str">
        <f t="shared" si="2"/>
        <v/>
      </c>
      <c r="Y157" t="str">
        <f>IF(A157="","",ROUND((J157*4+K157*3+IF(I157="P154",5,IF(I157="P155",4,IF(I157="P156",3,2)))*2+IF(Z157="Sí",5,3))*2,0))</f>
        <v/>
      </c>
    </row>
    <row r="158" spans="2:25">
      <c r="B158" s="13"/>
      <c r="C158" s="14"/>
      <c r="D158" s="14"/>
      <c r="U158" s="13"/>
      <c r="V158" s="12"/>
      <c r="W158" t="str">
        <f t="shared" si="2"/>
        <v/>
      </c>
      <c r="Y158" t="str">
        <f>IF(A158="","",ROUND((J158*4+K158*3+IF(I158="P155",5,IF(I158="P156",4,IF(I158="P157",3,2)))*2+IF(Z158="Sí",5,3))*2,0))</f>
        <v/>
      </c>
    </row>
    <row r="159" spans="2:25">
      <c r="B159" s="13"/>
      <c r="C159" s="14"/>
      <c r="D159" s="14"/>
      <c r="U159" s="13"/>
      <c r="V159" s="12"/>
      <c r="W159" t="str">
        <f t="shared" si="2"/>
        <v/>
      </c>
      <c r="Y159" t="str">
        <f>IF(A159="","",ROUND((J159*4+K159*3+IF(I159="P156",5,IF(I159="P157",4,IF(I159="P158",3,2)))*2+IF(Z159="Sí",5,3))*2,0))</f>
        <v/>
      </c>
    </row>
    <row r="160" spans="2:25">
      <c r="B160" s="13"/>
      <c r="C160" s="14"/>
      <c r="D160" s="14"/>
      <c r="U160" s="13"/>
      <c r="V160" s="12"/>
      <c r="W160" t="str">
        <f t="shared" si="2"/>
        <v/>
      </c>
      <c r="Y160" t="str">
        <f>IF(A160="","",ROUND((J160*4+K160*3+IF(I160="P157",5,IF(I160="P158",4,IF(I160="P159",3,2)))*2+IF(Z160="Sí",5,3))*2,0))</f>
        <v/>
      </c>
    </row>
    <row r="161" spans="2:25">
      <c r="B161" s="13"/>
      <c r="C161" s="14"/>
      <c r="D161" s="14"/>
      <c r="U161" s="13"/>
      <c r="V161" s="12"/>
      <c r="W161" t="str">
        <f t="shared" si="2"/>
        <v/>
      </c>
      <c r="Y161" t="str">
        <f>IF(A161="","",ROUND((J161*4+K161*3+IF(I161="P158",5,IF(I161="P159",4,IF(I161="P160",3,2)))*2+IF(Z161="Sí",5,3))*2,0))</f>
        <v/>
      </c>
    </row>
    <row r="162" spans="2:25">
      <c r="B162" s="13"/>
      <c r="C162" s="14"/>
      <c r="D162" s="14"/>
      <c r="U162" s="13"/>
      <c r="V162" s="12"/>
      <c r="W162" t="str">
        <f t="shared" si="2"/>
        <v/>
      </c>
      <c r="Y162" t="str">
        <f>IF(A162="","",ROUND((J162*4+K162*3+IF(I162="P159",5,IF(I162="P160",4,IF(I162="P161",3,2)))*2+IF(Z162="Sí",5,3))*2,0))</f>
        <v/>
      </c>
    </row>
    <row r="163" spans="2:25">
      <c r="B163" s="13"/>
      <c r="C163" s="14"/>
      <c r="D163" s="14"/>
      <c r="U163" s="13"/>
      <c r="V163" s="12"/>
      <c r="W163" t="str">
        <f t="shared" si="2"/>
        <v/>
      </c>
      <c r="Y163" t="str">
        <f>IF(A163="","",ROUND((J163*4+K163*3+IF(I163="P160",5,IF(I163="P161",4,IF(I163="P162",3,2)))*2+IF(Z163="Sí",5,3))*2,0))</f>
        <v/>
      </c>
    </row>
    <row r="164" spans="2:25">
      <c r="B164" s="13"/>
      <c r="C164" s="14"/>
      <c r="D164" s="14"/>
      <c r="U164" s="13"/>
      <c r="V164" s="12"/>
      <c r="W164" t="str">
        <f t="shared" si="2"/>
        <v/>
      </c>
      <c r="Y164" t="str">
        <f>IF(A164="","",ROUND((J164*4+K164*3+IF(I164="P161",5,IF(I164="P162",4,IF(I164="P163",3,2)))*2+IF(Z164="Sí",5,3))*2,0))</f>
        <v/>
      </c>
    </row>
    <row r="165" spans="2:25">
      <c r="B165" s="13"/>
      <c r="C165" s="14"/>
      <c r="D165" s="14"/>
      <c r="U165" s="13"/>
      <c r="V165" s="12"/>
      <c r="W165" t="str">
        <f t="shared" si="2"/>
        <v/>
      </c>
      <c r="Y165" t="str">
        <f>IF(A165="","",ROUND((J165*4+K165*3+IF(I165="P162",5,IF(I165="P163",4,IF(I165="P164",3,2)))*2+IF(Z165="Sí",5,3))*2,0))</f>
        <v/>
      </c>
    </row>
    <row r="166" spans="2:25">
      <c r="B166" s="13"/>
      <c r="C166" s="14"/>
      <c r="D166" s="14"/>
      <c r="U166" s="13"/>
      <c r="V166" s="12"/>
      <c r="W166" t="str">
        <f t="shared" si="2"/>
        <v/>
      </c>
      <c r="Y166" t="str">
        <f>IF(A166="","",ROUND((J166*4+K166*3+IF(I166="P163",5,IF(I166="P164",4,IF(I166="P165",3,2)))*2+IF(Z166="Sí",5,3))*2,0))</f>
        <v/>
      </c>
    </row>
    <row r="167" spans="2:25">
      <c r="B167" s="13"/>
      <c r="C167" s="14"/>
      <c r="D167" s="14"/>
      <c r="U167" s="13"/>
      <c r="V167" s="12"/>
      <c r="W167" t="str">
        <f t="shared" si="2"/>
        <v/>
      </c>
      <c r="Y167" t="str">
        <f>IF(A167="","",ROUND((J167*4+K167*3+IF(I167="P164",5,IF(I167="P165",4,IF(I167="P166",3,2)))*2+IF(Z167="Sí",5,3))*2,0))</f>
        <v/>
      </c>
    </row>
    <row r="168" spans="2:25">
      <c r="B168" s="13"/>
      <c r="C168" s="14"/>
      <c r="D168" s="14"/>
      <c r="U168" s="13"/>
      <c r="V168" s="12"/>
      <c r="W168" t="str">
        <f t="shared" si="2"/>
        <v/>
      </c>
      <c r="Y168" t="str">
        <f>IF(A168="","",ROUND((J168*4+K168*3+IF(I168="P165",5,IF(I168="P166",4,IF(I168="P167",3,2)))*2+IF(Z168="Sí",5,3))*2,0))</f>
        <v/>
      </c>
    </row>
    <row r="169" spans="2:25">
      <c r="B169" s="13"/>
      <c r="C169" s="14"/>
      <c r="D169" s="14"/>
      <c r="U169" s="13"/>
      <c r="V169" s="12"/>
      <c r="W169" t="str">
        <f t="shared" si="2"/>
        <v/>
      </c>
      <c r="Y169" t="str">
        <f>IF(A169="","",ROUND((J169*4+K169*3+IF(I169="P166",5,IF(I169="P167",4,IF(I169="P168",3,2)))*2+IF(Z169="Sí",5,3))*2,0))</f>
        <v/>
      </c>
    </row>
    <row r="170" spans="2:25">
      <c r="B170" s="13"/>
      <c r="C170" s="14"/>
      <c r="D170" s="14"/>
      <c r="U170" s="13"/>
      <c r="V170" s="12"/>
      <c r="W170" t="str">
        <f t="shared" si="2"/>
        <v/>
      </c>
      <c r="Y170" t="str">
        <f>IF(A170="","",ROUND((J170*4+K170*3+IF(I170="P167",5,IF(I170="P168",4,IF(I170="P169",3,2)))*2+IF(Z170="Sí",5,3))*2,0))</f>
        <v/>
      </c>
    </row>
    <row r="171" spans="2:25">
      <c r="B171" s="13"/>
      <c r="C171" s="14"/>
      <c r="D171" s="14"/>
      <c r="U171" s="13"/>
      <c r="V171" s="12"/>
      <c r="W171" t="str">
        <f t="shared" si="2"/>
        <v/>
      </c>
      <c r="Y171" t="str">
        <f>IF(A171="","",ROUND((J171*4+K171*3+IF(I171="P168",5,IF(I171="P169",4,IF(I171="P170",3,2)))*2+IF(Z171="Sí",5,3))*2,0))</f>
        <v/>
      </c>
    </row>
    <row r="172" spans="2:25">
      <c r="B172" s="13"/>
      <c r="C172" s="14"/>
      <c r="D172" s="14"/>
      <c r="U172" s="13"/>
      <c r="V172" s="12"/>
      <c r="W172" t="str">
        <f t="shared" si="2"/>
        <v/>
      </c>
      <c r="Y172" t="str">
        <f>IF(A172="","",ROUND((J172*4+K172*3+IF(I172="P169",5,IF(I172="P170",4,IF(I172="P171",3,2)))*2+IF(Z172="Sí",5,3))*2,0))</f>
        <v/>
      </c>
    </row>
    <row r="173" spans="2:25">
      <c r="B173" s="13"/>
      <c r="C173" s="14"/>
      <c r="D173" s="14"/>
      <c r="U173" s="13"/>
      <c r="V173" s="12"/>
      <c r="W173" t="str">
        <f t="shared" si="2"/>
        <v/>
      </c>
      <c r="Y173" t="str">
        <f>IF(A173="","",ROUND((J173*4+K173*3+IF(I173="P170",5,IF(I173="P171",4,IF(I173="P172",3,2)))*2+IF(Z173="Sí",5,3))*2,0))</f>
        <v/>
      </c>
    </row>
    <row r="174" spans="2:25">
      <c r="B174" s="13"/>
      <c r="C174" s="14"/>
      <c r="D174" s="14"/>
      <c r="U174" s="13"/>
      <c r="V174" s="12"/>
      <c r="W174" t="str">
        <f t="shared" si="2"/>
        <v/>
      </c>
      <c r="Y174" t="str">
        <f>IF(A174="","",ROUND((J174*4+K174*3+IF(I174="P171",5,IF(I174="P172",4,IF(I174="P173",3,2)))*2+IF(Z174="Sí",5,3))*2,0))</f>
        <v/>
      </c>
    </row>
    <row r="175" spans="2:25">
      <c r="B175" s="13"/>
      <c r="C175" s="14"/>
      <c r="D175" s="14"/>
      <c r="U175" s="13"/>
      <c r="V175" s="12"/>
      <c r="W175" t="str">
        <f t="shared" si="2"/>
        <v/>
      </c>
      <c r="Y175" t="str">
        <f>IF(A175="","",ROUND((J175*4+K175*3+IF(I175="P172",5,IF(I175="P173",4,IF(I175="P174",3,2)))*2+IF(Z175="Sí",5,3))*2,0))</f>
        <v/>
      </c>
    </row>
    <row r="176" spans="2:25">
      <c r="B176" s="13"/>
      <c r="C176" s="14"/>
      <c r="D176" s="14"/>
      <c r="U176" s="13"/>
      <c r="V176" s="12"/>
      <c r="W176" t="str">
        <f t="shared" si="2"/>
        <v/>
      </c>
      <c r="Y176" t="str">
        <f>IF(A176="","",ROUND((J176*4+K176*3+IF(I176="P173",5,IF(I176="P174",4,IF(I176="P175",3,2)))*2+IF(Z176="Sí",5,3))*2,0))</f>
        <v/>
      </c>
    </row>
    <row r="177" spans="2:25">
      <c r="B177" s="13"/>
      <c r="C177" s="14"/>
      <c r="D177" s="14"/>
      <c r="U177" s="13"/>
      <c r="V177" s="12"/>
      <c r="W177" t="str">
        <f t="shared" si="2"/>
        <v/>
      </c>
      <c r="Y177" t="str">
        <f>IF(A177="","",ROUND((J177*4+K177*3+IF(I177="P174",5,IF(I177="P175",4,IF(I177="P176",3,2)))*2+IF(Z177="Sí",5,3))*2,0))</f>
        <v/>
      </c>
    </row>
    <row r="178" spans="2:25">
      <c r="B178" s="13"/>
      <c r="C178" s="14"/>
      <c r="D178" s="14"/>
      <c r="U178" s="13"/>
      <c r="V178" s="12"/>
      <c r="W178" t="str">
        <f t="shared" si="2"/>
        <v/>
      </c>
      <c r="Y178" t="str">
        <f>IF(A178="","",ROUND((J178*4+K178*3+IF(I178="P175",5,IF(I178="P176",4,IF(I178="P177",3,2)))*2+IF(Z178="Sí",5,3))*2,0))</f>
        <v/>
      </c>
    </row>
    <row r="179" spans="2:25">
      <c r="B179" s="13"/>
      <c r="C179" s="14"/>
      <c r="D179" s="14"/>
      <c r="U179" s="13"/>
      <c r="V179" s="12"/>
      <c r="W179" t="str">
        <f t="shared" si="2"/>
        <v/>
      </c>
      <c r="Y179" t="str">
        <f>IF(A179="","",ROUND((J179*4+K179*3+IF(I179="P176",5,IF(I179="P177",4,IF(I179="P178",3,2)))*2+IF(Z179="Sí",5,3))*2,0))</f>
        <v/>
      </c>
    </row>
    <row r="180" spans="2:25">
      <c r="B180" s="13"/>
      <c r="C180" s="14"/>
      <c r="D180" s="14"/>
      <c r="U180" s="13"/>
      <c r="V180" s="12"/>
      <c r="W180" t="str">
        <f t="shared" si="2"/>
        <v/>
      </c>
      <c r="Y180" t="str">
        <f>IF(A180="","",ROUND((J180*4+K180*3+IF(I180="P177",5,IF(I180="P178",4,IF(I180="P179",3,2)))*2+IF(Z180="Sí",5,3))*2,0))</f>
        <v/>
      </c>
    </row>
    <row r="181" spans="2:25">
      <c r="B181" s="13"/>
      <c r="C181" s="14"/>
      <c r="D181" s="14"/>
      <c r="U181" s="13"/>
      <c r="V181" s="12"/>
      <c r="W181" t="str">
        <f t="shared" si="2"/>
        <v/>
      </c>
      <c r="Y181" t="str">
        <f>IF(A181="","",ROUND((J181*4+K181*3+IF(I181="P178",5,IF(I181="P179",4,IF(I181="P180",3,2)))*2+IF(Z181="Sí",5,3))*2,0))</f>
        <v/>
      </c>
    </row>
    <row r="182" spans="2:25">
      <c r="B182" s="13"/>
      <c r="C182" s="14"/>
      <c r="D182" s="14"/>
      <c r="U182" s="13"/>
      <c r="V182" s="12"/>
      <c r="W182" t="str">
        <f t="shared" si="2"/>
        <v/>
      </c>
      <c r="Y182" t="str">
        <f>IF(A182="","",ROUND((J182*4+K182*3+IF(I182="P179",5,IF(I182="P180",4,IF(I182="P181",3,2)))*2+IF(Z182="Sí",5,3))*2,0))</f>
        <v/>
      </c>
    </row>
    <row r="183" spans="2:25">
      <c r="B183" s="13"/>
      <c r="C183" s="14"/>
      <c r="D183" s="14"/>
      <c r="U183" s="13"/>
      <c r="V183" s="12"/>
      <c r="W183" t="str">
        <f t="shared" si="2"/>
        <v/>
      </c>
      <c r="Y183" t="str">
        <f>IF(A183="","",ROUND((J183*4+K183*3+IF(I183="P180",5,IF(I183="P181",4,IF(I183="P182",3,2)))*2+IF(Z183="Sí",5,3))*2,0))</f>
        <v/>
      </c>
    </row>
    <row r="184" spans="2:25">
      <c r="B184" s="13"/>
      <c r="C184" s="14"/>
      <c r="D184" s="14"/>
      <c r="U184" s="13"/>
      <c r="V184" s="12"/>
      <c r="W184" t="str">
        <f t="shared" si="2"/>
        <v/>
      </c>
      <c r="Y184" t="str">
        <f>IF(A184="","",ROUND((J184*4+K184*3+IF(I184="P181",5,IF(I184="P182",4,IF(I184="P183",3,2)))*2+IF(Z184="Sí",5,3))*2,0))</f>
        <v/>
      </c>
    </row>
    <row r="185" spans="2:25">
      <c r="B185" s="13"/>
      <c r="C185" s="14"/>
      <c r="D185" s="14"/>
      <c r="U185" s="13"/>
      <c r="V185" s="12"/>
      <c r="W185" t="str">
        <f t="shared" si="2"/>
        <v/>
      </c>
      <c r="Y185" t="str">
        <f>IF(A185="","",ROUND((J185*4+K185*3+IF(I185="P182",5,IF(I185="P183",4,IF(I185="P184",3,2)))*2+IF(Z185="Sí",5,3))*2,0))</f>
        <v/>
      </c>
    </row>
    <row r="186" spans="2:25">
      <c r="B186" s="13"/>
      <c r="C186" s="14"/>
      <c r="D186" s="14"/>
      <c r="U186" s="13"/>
      <c r="V186" s="12"/>
      <c r="W186" t="str">
        <f t="shared" si="2"/>
        <v/>
      </c>
      <c r="Y186" t="str">
        <f>IF(A186="","",ROUND((J186*4+K186*3+IF(I186="P183",5,IF(I186="P184",4,IF(I186="P185",3,2)))*2+IF(Z186="Sí",5,3))*2,0))</f>
        <v/>
      </c>
    </row>
    <row r="187" spans="2:25">
      <c r="B187" s="13"/>
      <c r="C187" s="14"/>
      <c r="D187" s="14"/>
      <c r="U187" s="13"/>
      <c r="V187" s="12"/>
      <c r="W187" t="str">
        <f t="shared" si="2"/>
        <v/>
      </c>
      <c r="Y187" t="str">
        <f>IF(A187="","",ROUND((J187*4+K187*3+IF(I187="P184",5,IF(I187="P185",4,IF(I187="P186",3,2)))*2+IF(Z187="Sí",5,3))*2,0))</f>
        <v/>
      </c>
    </row>
    <row r="188" spans="2:25">
      <c r="B188" s="13"/>
      <c r="C188" s="14"/>
      <c r="D188" s="14"/>
      <c r="U188" s="13"/>
      <c r="V188" s="12"/>
      <c r="W188" t="str">
        <f t="shared" si="2"/>
        <v/>
      </c>
      <c r="Y188" t="str">
        <f>IF(A188="","",ROUND((J188*4+K188*3+IF(I188="P185",5,IF(I188="P186",4,IF(I188="P187",3,2)))*2+IF(Z188="Sí",5,3))*2,0))</f>
        <v/>
      </c>
    </row>
    <row r="189" spans="2:25">
      <c r="B189" s="13"/>
      <c r="C189" s="14"/>
      <c r="D189" s="14"/>
      <c r="U189" s="13"/>
      <c r="V189" s="12"/>
      <c r="W189" t="str">
        <f t="shared" si="2"/>
        <v/>
      </c>
      <c r="Y189" t="str">
        <f>IF(A189="","",ROUND((J189*4+K189*3+IF(I189="P186",5,IF(I189="P187",4,IF(I189="P188",3,2)))*2+IF(Z189="Sí",5,3))*2,0))</f>
        <v/>
      </c>
    </row>
    <row r="190" spans="2:25">
      <c r="B190" s="13"/>
      <c r="C190" s="14"/>
      <c r="D190" s="14"/>
      <c r="U190" s="13"/>
      <c r="V190" s="12"/>
      <c r="W190" t="str">
        <f t="shared" si="2"/>
        <v/>
      </c>
      <c r="Y190" t="str">
        <f>IF(A190="","",ROUND((J190*4+K190*3+IF(I190="P187",5,IF(I190="P188",4,IF(I190="P189",3,2)))*2+IF(Z190="Sí",5,3))*2,0))</f>
        <v/>
      </c>
    </row>
    <row r="191" spans="2:25">
      <c r="B191" s="13"/>
      <c r="C191" s="14"/>
      <c r="D191" s="14"/>
      <c r="U191" s="13"/>
      <c r="V191" s="12"/>
      <c r="W191" t="str">
        <f t="shared" si="2"/>
        <v/>
      </c>
      <c r="Y191" t="str">
        <f>IF(A191="","",ROUND((J191*4+K191*3+IF(I191="P188",5,IF(I191="P189",4,IF(I191="P190",3,2)))*2+IF(Z191="Sí",5,3))*2,0))</f>
        <v/>
      </c>
    </row>
    <row r="192" spans="2:25">
      <c r="B192" s="13"/>
      <c r="C192" s="14"/>
      <c r="D192" s="14"/>
      <c r="U192" s="13"/>
      <c r="V192" s="12"/>
      <c r="W192" t="str">
        <f t="shared" si="2"/>
        <v/>
      </c>
      <c r="Y192" t="str">
        <f>IF(A192="","",ROUND((J192*4+K192*3+IF(I192="P189",5,IF(I192="P190",4,IF(I192="P191",3,2)))*2+IF(Z192="Sí",5,3))*2,0))</f>
        <v/>
      </c>
    </row>
    <row r="193" spans="2:25">
      <c r="B193" s="13"/>
      <c r="C193" s="14"/>
      <c r="D193" s="14"/>
      <c r="U193" s="13"/>
      <c r="V193" s="12"/>
      <c r="W193" t="str">
        <f t="shared" si="2"/>
        <v/>
      </c>
      <c r="Y193" t="str">
        <f>IF(A193="","",ROUND((J193*4+K193*3+IF(I193="P190",5,IF(I193="P191",4,IF(I193="P192",3,2)))*2+IF(Z193="Sí",5,3))*2,0))</f>
        <v/>
      </c>
    </row>
    <row r="194" spans="2:25">
      <c r="B194" s="13"/>
      <c r="C194" s="14"/>
      <c r="D194" s="14"/>
      <c r="U194" s="13"/>
      <c r="V194" s="12"/>
      <c r="W194" t="str">
        <f t="shared" si="2"/>
        <v/>
      </c>
      <c r="Y194" t="str">
        <f>IF(A194="","",ROUND((J194*4+K194*3+IF(I194="P191",5,IF(I194="P192",4,IF(I194="P193",3,2)))*2+IF(Z194="Sí",5,3))*2,0))</f>
        <v/>
      </c>
    </row>
    <row r="195" spans="2:25">
      <c r="B195" s="13"/>
      <c r="C195" s="14"/>
      <c r="D195" s="14"/>
      <c r="U195" s="13"/>
      <c r="V195" s="12"/>
      <c r="W195" t="str">
        <f t="shared" si="2"/>
        <v/>
      </c>
      <c r="Y195" t="str">
        <f>IF(A195="","",ROUND((J195*4+K195*3+IF(I195="P192",5,IF(I195="P193",4,IF(I195="P194",3,2)))*2+IF(Z195="Sí",5,3))*2,0))</f>
        <v/>
      </c>
    </row>
    <row r="196" spans="2:25">
      <c r="B196" s="13"/>
      <c r="C196" s="14"/>
      <c r="D196" s="14"/>
      <c r="U196" s="13"/>
      <c r="V196" s="12"/>
      <c r="W196" t="str">
        <f t="shared" ref="W196:W259" si="3">IF(OR(C196="",D196=""),"",ROUND((D196-C196)*1440,0))</f>
        <v/>
      </c>
      <c r="Y196" t="str">
        <f>IF(A196="","",ROUND((J196*4+K196*3+IF(I196="P193",5,IF(I196="P194",4,IF(I196="P195",3,2)))*2+IF(Z196="Sí",5,3))*2,0))</f>
        <v/>
      </c>
    </row>
    <row r="197" spans="2:25">
      <c r="B197" s="13"/>
      <c r="C197" s="14"/>
      <c r="D197" s="14"/>
      <c r="U197" s="13"/>
      <c r="V197" s="12"/>
      <c r="W197" t="str">
        <f t="shared" si="3"/>
        <v/>
      </c>
      <c r="Y197" t="str">
        <f>IF(A197="","",ROUND((J197*4+K197*3+IF(I197="P194",5,IF(I197="P195",4,IF(I197="P196",3,2)))*2+IF(Z197="Sí",5,3))*2,0))</f>
        <v/>
      </c>
    </row>
    <row r="198" spans="2:25">
      <c r="B198" s="13"/>
      <c r="C198" s="14"/>
      <c r="D198" s="14"/>
      <c r="U198" s="13"/>
      <c r="V198" s="12"/>
      <c r="W198" t="str">
        <f t="shared" si="3"/>
        <v/>
      </c>
      <c r="Y198" t="str">
        <f>IF(A198="","",ROUND((J198*4+K198*3+IF(I198="P195",5,IF(I198="P196",4,IF(I198="P197",3,2)))*2+IF(Z198="Sí",5,3))*2,0))</f>
        <v/>
      </c>
    </row>
    <row r="199" spans="2:25">
      <c r="B199" s="13"/>
      <c r="C199" s="14"/>
      <c r="D199" s="14"/>
      <c r="U199" s="13"/>
      <c r="V199" s="12"/>
      <c r="W199" t="str">
        <f t="shared" si="3"/>
        <v/>
      </c>
      <c r="Y199" t="str">
        <f>IF(A199="","",ROUND((J199*4+K199*3+IF(I199="P196",5,IF(I199="P197",4,IF(I199="P198",3,2)))*2+IF(Z199="Sí",5,3))*2,0))</f>
        <v/>
      </c>
    </row>
    <row r="200" spans="2:25">
      <c r="B200" s="13"/>
      <c r="C200" s="14"/>
      <c r="D200" s="14"/>
      <c r="U200" s="13"/>
      <c r="V200" s="12"/>
      <c r="W200" t="str">
        <f t="shared" si="3"/>
        <v/>
      </c>
      <c r="Y200" t="str">
        <f>IF(A200="","",ROUND((J200*4+K200*3+IF(I200="P197",5,IF(I200="P198",4,IF(I200="P199",3,2)))*2+IF(Z200="Sí",5,3))*2,0))</f>
        <v/>
      </c>
    </row>
    <row r="201" spans="2:25">
      <c r="B201" s="13"/>
      <c r="C201" s="14"/>
      <c r="D201" s="14"/>
      <c r="U201" s="13"/>
      <c r="V201" s="12"/>
      <c r="W201" t="str">
        <f t="shared" si="3"/>
        <v/>
      </c>
      <c r="Y201" t="str">
        <f>IF(A201="","",ROUND((J201*4+K201*3+IF(I201="P198",5,IF(I201="P199",4,IF(I201="P200",3,2)))*2+IF(Z201="Sí",5,3))*2,0))</f>
        <v/>
      </c>
    </row>
    <row r="202" spans="2:25">
      <c r="B202" s="13"/>
      <c r="C202" s="14"/>
      <c r="D202" s="14"/>
      <c r="U202" s="13"/>
      <c r="V202" s="12"/>
      <c r="W202" t="str">
        <f t="shared" si="3"/>
        <v/>
      </c>
      <c r="Y202" t="str">
        <f>IF(A202="","",ROUND((J202*4+K202*3+IF(I202="P199",5,IF(I202="P200",4,IF(I202="P201",3,2)))*2+IF(Z202="Sí",5,3))*2,0))</f>
        <v/>
      </c>
    </row>
    <row r="203" spans="2:25">
      <c r="B203" s="13"/>
      <c r="C203" s="14"/>
      <c r="D203" s="14"/>
      <c r="U203" s="13"/>
      <c r="V203" s="12"/>
      <c r="W203" t="str">
        <f t="shared" si="3"/>
        <v/>
      </c>
      <c r="Y203" t="str">
        <f>IF(A203="","",ROUND((J203*4+K203*3+IF(I203="P200",5,IF(I203="P201",4,IF(I203="P202",3,2)))*2+IF(Z203="Sí",5,3))*2,0))</f>
        <v/>
      </c>
    </row>
    <row r="204" spans="2:25">
      <c r="B204" s="13"/>
      <c r="C204" s="14"/>
      <c r="D204" s="14"/>
      <c r="U204" s="13"/>
      <c r="V204" s="12"/>
      <c r="W204" t="str">
        <f t="shared" si="3"/>
        <v/>
      </c>
      <c r="Y204" t="str">
        <f>IF(A204="","",ROUND((J204*4+K204*3+IF(I204="P201",5,IF(I204="P202",4,IF(I204="P203",3,2)))*2+IF(Z204="Sí",5,3))*2,0))</f>
        <v/>
      </c>
    </row>
    <row r="205" spans="2:25">
      <c r="B205" s="13"/>
      <c r="C205" s="14"/>
      <c r="D205" s="14"/>
      <c r="U205" s="13"/>
      <c r="V205" s="12"/>
      <c r="W205" t="str">
        <f t="shared" si="3"/>
        <v/>
      </c>
      <c r="Y205" t="str">
        <f>IF(A205="","",ROUND((J205*4+K205*3+IF(I205="P202",5,IF(I205="P203",4,IF(I205="P204",3,2)))*2+IF(Z205="Sí",5,3))*2,0))</f>
        <v/>
      </c>
    </row>
    <row r="206" spans="2:25">
      <c r="B206" s="13"/>
      <c r="C206" s="14"/>
      <c r="D206" s="14"/>
      <c r="U206" s="13"/>
      <c r="V206" s="12"/>
      <c r="W206" t="str">
        <f t="shared" si="3"/>
        <v/>
      </c>
      <c r="Y206" t="str">
        <f>IF(A206="","",ROUND((J206*4+K206*3+IF(I206="P203",5,IF(I206="P204",4,IF(I206="P205",3,2)))*2+IF(Z206="Sí",5,3))*2,0))</f>
        <v/>
      </c>
    </row>
    <row r="207" spans="2:25">
      <c r="B207" s="13"/>
      <c r="C207" s="14"/>
      <c r="D207" s="14"/>
      <c r="U207" s="13"/>
      <c r="V207" s="12"/>
      <c r="W207" t="str">
        <f t="shared" si="3"/>
        <v/>
      </c>
      <c r="Y207" t="str">
        <f>IF(A207="","",ROUND((J207*4+K207*3+IF(I207="P204",5,IF(I207="P205",4,IF(I207="P206",3,2)))*2+IF(Z207="Sí",5,3))*2,0))</f>
        <v/>
      </c>
    </row>
    <row r="208" spans="2:25">
      <c r="B208" s="13"/>
      <c r="C208" s="14"/>
      <c r="D208" s="14"/>
      <c r="U208" s="13"/>
      <c r="V208" s="12"/>
      <c r="W208" t="str">
        <f t="shared" si="3"/>
        <v/>
      </c>
      <c r="Y208" t="str">
        <f>IF(A208="","",ROUND((J208*4+K208*3+IF(I208="P205",5,IF(I208="P206",4,IF(I208="P207",3,2)))*2+IF(Z208="Sí",5,3))*2,0))</f>
        <v/>
      </c>
    </row>
    <row r="209" spans="2:25">
      <c r="B209" s="13"/>
      <c r="C209" s="14"/>
      <c r="D209" s="14"/>
      <c r="U209" s="13"/>
      <c r="V209" s="12"/>
      <c r="W209" t="str">
        <f t="shared" si="3"/>
        <v/>
      </c>
      <c r="Y209" t="str">
        <f>IF(A209="","",ROUND((J209*4+K209*3+IF(I209="P206",5,IF(I209="P207",4,IF(I209="P208",3,2)))*2+IF(Z209="Sí",5,3))*2,0))</f>
        <v/>
      </c>
    </row>
    <row r="210" spans="2:25">
      <c r="B210" s="13"/>
      <c r="C210" s="14"/>
      <c r="D210" s="14"/>
      <c r="U210" s="13"/>
      <c r="V210" s="12"/>
      <c r="W210" t="str">
        <f t="shared" si="3"/>
        <v/>
      </c>
      <c r="Y210" t="str">
        <f>IF(A210="","",ROUND((J210*4+K210*3+IF(I210="P207",5,IF(I210="P208",4,IF(I210="P209",3,2)))*2+IF(Z210="Sí",5,3))*2,0))</f>
        <v/>
      </c>
    </row>
    <row r="211" spans="2:25">
      <c r="B211" s="13"/>
      <c r="C211" s="14"/>
      <c r="D211" s="14"/>
      <c r="U211" s="13"/>
      <c r="V211" s="12"/>
      <c r="W211" t="str">
        <f t="shared" si="3"/>
        <v/>
      </c>
      <c r="Y211" t="str">
        <f>IF(A211="","",ROUND((J211*4+K211*3+IF(I211="P208",5,IF(I211="P209",4,IF(I211="P210",3,2)))*2+IF(Z211="Sí",5,3))*2,0))</f>
        <v/>
      </c>
    </row>
    <row r="212" spans="2:25">
      <c r="B212" s="13"/>
      <c r="C212" s="14"/>
      <c r="D212" s="14"/>
      <c r="U212" s="13"/>
      <c r="V212" s="12"/>
      <c r="W212" t="str">
        <f t="shared" si="3"/>
        <v/>
      </c>
      <c r="Y212" t="str">
        <f>IF(A212="","",ROUND((J212*4+K212*3+IF(I212="P209",5,IF(I212="P210",4,IF(I212="P211",3,2)))*2+IF(Z212="Sí",5,3))*2,0))</f>
        <v/>
      </c>
    </row>
    <row r="213" spans="2:25">
      <c r="B213" s="13"/>
      <c r="C213" s="14"/>
      <c r="D213" s="14"/>
      <c r="U213" s="13"/>
      <c r="V213" s="12"/>
      <c r="W213" t="str">
        <f t="shared" si="3"/>
        <v/>
      </c>
      <c r="Y213" t="str">
        <f>IF(A213="","",ROUND((J213*4+K213*3+IF(I213="P210",5,IF(I213="P211",4,IF(I213="P212",3,2)))*2+IF(Z213="Sí",5,3))*2,0))</f>
        <v/>
      </c>
    </row>
    <row r="214" spans="2:25">
      <c r="B214" s="13"/>
      <c r="C214" s="14"/>
      <c r="D214" s="14"/>
      <c r="U214" s="13"/>
      <c r="V214" s="12"/>
      <c r="W214" t="str">
        <f t="shared" si="3"/>
        <v/>
      </c>
      <c r="Y214" t="str">
        <f>IF(A214="","",ROUND((J214*4+K214*3+IF(I214="P211",5,IF(I214="P212",4,IF(I214="P213",3,2)))*2+IF(Z214="Sí",5,3))*2,0))</f>
        <v/>
      </c>
    </row>
    <row r="215" spans="2:25">
      <c r="B215" s="13"/>
      <c r="C215" s="14"/>
      <c r="D215" s="14"/>
      <c r="U215" s="13"/>
      <c r="V215" s="12"/>
      <c r="W215" t="str">
        <f t="shared" si="3"/>
        <v/>
      </c>
      <c r="Y215" t="str">
        <f>IF(A215="","",ROUND((J215*4+K215*3+IF(I215="P212",5,IF(I215="P213",4,IF(I215="P214",3,2)))*2+IF(Z215="Sí",5,3))*2,0))</f>
        <v/>
      </c>
    </row>
    <row r="216" spans="2:25">
      <c r="B216" s="13"/>
      <c r="C216" s="14"/>
      <c r="D216" s="14"/>
      <c r="U216" s="13"/>
      <c r="V216" s="12"/>
      <c r="W216" t="str">
        <f t="shared" si="3"/>
        <v/>
      </c>
      <c r="Y216" t="str">
        <f>IF(A216="","",ROUND((J216*4+K216*3+IF(I216="P213",5,IF(I216="P214",4,IF(I216="P215",3,2)))*2+IF(Z216="Sí",5,3))*2,0))</f>
        <v/>
      </c>
    </row>
    <row r="217" spans="2:25">
      <c r="B217" s="13"/>
      <c r="C217" s="14"/>
      <c r="D217" s="14"/>
      <c r="U217" s="13"/>
      <c r="V217" s="12"/>
      <c r="W217" t="str">
        <f t="shared" si="3"/>
        <v/>
      </c>
      <c r="Y217" t="str">
        <f>IF(A217="","",ROUND((J217*4+K217*3+IF(I217="P214",5,IF(I217="P215",4,IF(I217="P216",3,2)))*2+IF(Z217="Sí",5,3))*2,0))</f>
        <v/>
      </c>
    </row>
    <row r="218" spans="2:25">
      <c r="B218" s="13"/>
      <c r="C218" s="14"/>
      <c r="D218" s="14"/>
      <c r="U218" s="13"/>
      <c r="V218" s="12"/>
      <c r="W218" t="str">
        <f t="shared" si="3"/>
        <v/>
      </c>
      <c r="Y218" t="str">
        <f>IF(A218="","",ROUND((J218*4+K218*3+IF(I218="P215",5,IF(I218="P216",4,IF(I218="P217",3,2)))*2+IF(Z218="Sí",5,3))*2,0))</f>
        <v/>
      </c>
    </row>
    <row r="219" spans="2:25">
      <c r="B219" s="13"/>
      <c r="C219" s="14"/>
      <c r="D219" s="14"/>
      <c r="U219" s="13"/>
      <c r="V219" s="12"/>
      <c r="W219" t="str">
        <f t="shared" si="3"/>
        <v/>
      </c>
      <c r="Y219" t="str">
        <f>IF(A219="","",ROUND((J219*4+K219*3+IF(I219="P216",5,IF(I219="P217",4,IF(I219="P218",3,2)))*2+IF(Z219="Sí",5,3))*2,0))</f>
        <v/>
      </c>
    </row>
    <row r="220" spans="2:25">
      <c r="B220" s="13"/>
      <c r="C220" s="14"/>
      <c r="D220" s="14"/>
      <c r="U220" s="13"/>
      <c r="V220" s="12"/>
      <c r="W220" t="str">
        <f t="shared" si="3"/>
        <v/>
      </c>
      <c r="Y220" t="str">
        <f>IF(A220="","",ROUND((J220*4+K220*3+IF(I220="P217",5,IF(I220="P218",4,IF(I220="P219",3,2)))*2+IF(Z220="Sí",5,3))*2,0))</f>
        <v/>
      </c>
    </row>
    <row r="221" spans="2:25">
      <c r="B221" s="13"/>
      <c r="C221" s="14"/>
      <c r="D221" s="14"/>
      <c r="U221" s="13"/>
      <c r="V221" s="12"/>
      <c r="W221" t="str">
        <f t="shared" si="3"/>
        <v/>
      </c>
      <c r="Y221" t="str">
        <f>IF(A221="","",ROUND((J221*4+K221*3+IF(I221="P218",5,IF(I221="P219",4,IF(I221="P220",3,2)))*2+IF(Z221="Sí",5,3))*2,0))</f>
        <v/>
      </c>
    </row>
    <row r="222" spans="2:25">
      <c r="B222" s="13"/>
      <c r="C222" s="14"/>
      <c r="D222" s="14"/>
      <c r="U222" s="13"/>
      <c r="V222" s="12"/>
      <c r="W222" t="str">
        <f t="shared" si="3"/>
        <v/>
      </c>
      <c r="Y222" t="str">
        <f>IF(A222="","",ROUND((J222*4+K222*3+IF(I222="P219",5,IF(I222="P220",4,IF(I222="P221",3,2)))*2+IF(Z222="Sí",5,3))*2,0))</f>
        <v/>
      </c>
    </row>
    <row r="223" spans="2:25">
      <c r="B223" s="13"/>
      <c r="C223" s="14"/>
      <c r="D223" s="14"/>
      <c r="U223" s="13"/>
      <c r="V223" s="12"/>
      <c r="W223" t="str">
        <f t="shared" si="3"/>
        <v/>
      </c>
      <c r="Y223" t="str">
        <f>IF(A223="","",ROUND((J223*4+K223*3+IF(I223="P220",5,IF(I223="P221",4,IF(I223="P222",3,2)))*2+IF(Z223="Sí",5,3))*2,0))</f>
        <v/>
      </c>
    </row>
    <row r="224" spans="2:25">
      <c r="B224" s="13"/>
      <c r="C224" s="14"/>
      <c r="D224" s="14"/>
      <c r="U224" s="13"/>
      <c r="V224" s="12"/>
      <c r="W224" t="str">
        <f t="shared" si="3"/>
        <v/>
      </c>
      <c r="Y224" t="str">
        <f>IF(A224="","",ROUND((J224*4+K224*3+IF(I224="P221",5,IF(I224="P222",4,IF(I224="P223",3,2)))*2+IF(Z224="Sí",5,3))*2,0))</f>
        <v/>
      </c>
    </row>
    <row r="225" spans="2:25">
      <c r="B225" s="13"/>
      <c r="C225" s="14"/>
      <c r="D225" s="14"/>
      <c r="U225" s="13"/>
      <c r="V225" s="12"/>
      <c r="W225" t="str">
        <f t="shared" si="3"/>
        <v/>
      </c>
      <c r="Y225" t="str">
        <f>IF(A225="","",ROUND((J225*4+K225*3+IF(I225="P222",5,IF(I225="P223",4,IF(I225="P224",3,2)))*2+IF(Z225="Sí",5,3))*2,0))</f>
        <v/>
      </c>
    </row>
    <row r="226" spans="2:25">
      <c r="B226" s="13"/>
      <c r="C226" s="14"/>
      <c r="D226" s="14"/>
      <c r="U226" s="13"/>
      <c r="V226" s="12"/>
      <c r="W226" t="str">
        <f t="shared" si="3"/>
        <v/>
      </c>
      <c r="Y226" t="str">
        <f>IF(A226="","",ROUND((J226*4+K226*3+IF(I226="P223",5,IF(I226="P224",4,IF(I226="P225",3,2)))*2+IF(Z226="Sí",5,3))*2,0))</f>
        <v/>
      </c>
    </row>
    <row r="227" spans="2:25">
      <c r="B227" s="13"/>
      <c r="C227" s="14"/>
      <c r="D227" s="14"/>
      <c r="U227" s="13"/>
      <c r="V227" s="12"/>
      <c r="W227" t="str">
        <f t="shared" si="3"/>
        <v/>
      </c>
      <c r="Y227" t="str">
        <f>IF(A227="","",ROUND((J227*4+K227*3+IF(I227="P224",5,IF(I227="P225",4,IF(I227="P226",3,2)))*2+IF(Z227="Sí",5,3))*2,0))</f>
        <v/>
      </c>
    </row>
    <row r="228" spans="2:25">
      <c r="B228" s="13"/>
      <c r="C228" s="14"/>
      <c r="D228" s="14"/>
      <c r="U228" s="13"/>
      <c r="V228" s="12"/>
      <c r="W228" t="str">
        <f t="shared" si="3"/>
        <v/>
      </c>
      <c r="Y228" t="str">
        <f>IF(A228="","",ROUND((J228*4+K228*3+IF(I228="P225",5,IF(I228="P226",4,IF(I228="P227",3,2)))*2+IF(Z228="Sí",5,3))*2,0))</f>
        <v/>
      </c>
    </row>
    <row r="229" spans="2:25">
      <c r="B229" s="13"/>
      <c r="C229" s="14"/>
      <c r="D229" s="14"/>
      <c r="U229" s="13"/>
      <c r="V229" s="12"/>
      <c r="W229" t="str">
        <f t="shared" si="3"/>
        <v/>
      </c>
      <c r="Y229" t="str">
        <f>IF(A229="","",ROUND((J229*4+K229*3+IF(I229="P226",5,IF(I229="P227",4,IF(I229="P228",3,2)))*2+IF(Z229="Sí",5,3))*2,0))</f>
        <v/>
      </c>
    </row>
    <row r="230" spans="2:25">
      <c r="B230" s="13"/>
      <c r="C230" s="14"/>
      <c r="D230" s="14"/>
      <c r="U230" s="13"/>
      <c r="V230" s="12"/>
      <c r="W230" t="str">
        <f t="shared" si="3"/>
        <v/>
      </c>
      <c r="Y230" t="str">
        <f>IF(A230="","",ROUND((J230*4+K230*3+IF(I230="P227",5,IF(I230="P228",4,IF(I230="P229",3,2)))*2+IF(Z230="Sí",5,3))*2,0))</f>
        <v/>
      </c>
    </row>
    <row r="231" spans="2:25">
      <c r="B231" s="13"/>
      <c r="C231" s="14"/>
      <c r="D231" s="14"/>
      <c r="U231" s="13"/>
      <c r="V231" s="12"/>
      <c r="W231" t="str">
        <f t="shared" si="3"/>
        <v/>
      </c>
      <c r="Y231" t="str">
        <f>IF(A231="","",ROUND((J231*4+K231*3+IF(I231="P228",5,IF(I231="P229",4,IF(I231="P230",3,2)))*2+IF(Z231="Sí",5,3))*2,0))</f>
        <v/>
      </c>
    </row>
    <row r="232" spans="2:25">
      <c r="B232" s="13"/>
      <c r="C232" s="14"/>
      <c r="D232" s="14"/>
      <c r="U232" s="13"/>
      <c r="V232" s="12"/>
      <c r="W232" t="str">
        <f t="shared" si="3"/>
        <v/>
      </c>
      <c r="Y232" t="str">
        <f>IF(A232="","",ROUND((J232*4+K232*3+IF(I232="P229",5,IF(I232="P230",4,IF(I232="P231",3,2)))*2+IF(Z232="Sí",5,3))*2,0))</f>
        <v/>
      </c>
    </row>
    <row r="233" spans="2:25">
      <c r="B233" s="13"/>
      <c r="C233" s="14"/>
      <c r="D233" s="14"/>
      <c r="U233" s="13"/>
      <c r="V233" s="12"/>
      <c r="W233" t="str">
        <f t="shared" si="3"/>
        <v/>
      </c>
      <c r="Y233" t="str">
        <f>IF(A233="","",ROUND((J233*4+K233*3+IF(I233="P230",5,IF(I233="P231",4,IF(I233="P232",3,2)))*2+IF(Z233="Sí",5,3))*2,0))</f>
        <v/>
      </c>
    </row>
    <row r="234" spans="2:25">
      <c r="B234" s="13"/>
      <c r="C234" s="14"/>
      <c r="D234" s="14"/>
      <c r="U234" s="13"/>
      <c r="V234" s="12"/>
      <c r="W234" t="str">
        <f t="shared" si="3"/>
        <v/>
      </c>
      <c r="Y234" t="str">
        <f>IF(A234="","",ROUND((J234*4+K234*3+IF(I234="P231",5,IF(I234="P232",4,IF(I234="P233",3,2)))*2+IF(Z234="Sí",5,3))*2,0))</f>
        <v/>
      </c>
    </row>
    <row r="235" spans="2:25">
      <c r="B235" s="13"/>
      <c r="C235" s="14"/>
      <c r="D235" s="14"/>
      <c r="U235" s="13"/>
      <c r="V235" s="12"/>
      <c r="W235" t="str">
        <f t="shared" si="3"/>
        <v/>
      </c>
      <c r="Y235" t="str">
        <f>IF(A235="","",ROUND((J235*4+K235*3+IF(I235="P232",5,IF(I235="P233",4,IF(I235="P234",3,2)))*2+IF(Z235="Sí",5,3))*2,0))</f>
        <v/>
      </c>
    </row>
    <row r="236" spans="2:25">
      <c r="B236" s="13"/>
      <c r="C236" s="14"/>
      <c r="D236" s="14"/>
      <c r="U236" s="13"/>
      <c r="V236" s="12"/>
      <c r="W236" t="str">
        <f t="shared" si="3"/>
        <v/>
      </c>
      <c r="Y236" t="str">
        <f>IF(A236="","",ROUND((J236*4+K236*3+IF(I236="P233",5,IF(I236="P234",4,IF(I236="P235",3,2)))*2+IF(Z236="Sí",5,3))*2,0))</f>
        <v/>
      </c>
    </row>
    <row r="237" spans="2:25">
      <c r="B237" s="13"/>
      <c r="C237" s="14"/>
      <c r="D237" s="14"/>
      <c r="U237" s="13"/>
      <c r="V237" s="12"/>
      <c r="W237" t="str">
        <f t="shared" si="3"/>
        <v/>
      </c>
      <c r="Y237" t="str">
        <f>IF(A237="","",ROUND((J237*4+K237*3+IF(I237="P234",5,IF(I237="P235",4,IF(I237="P236",3,2)))*2+IF(Z237="Sí",5,3))*2,0))</f>
        <v/>
      </c>
    </row>
    <row r="238" spans="2:25">
      <c r="B238" s="13"/>
      <c r="C238" s="14"/>
      <c r="D238" s="14"/>
      <c r="U238" s="13"/>
      <c r="V238" s="12"/>
      <c r="W238" t="str">
        <f t="shared" si="3"/>
        <v/>
      </c>
      <c r="Y238" t="str">
        <f>IF(A238="","",ROUND((J238*4+K238*3+IF(I238="P235",5,IF(I238="P236",4,IF(I238="P237",3,2)))*2+IF(Z238="Sí",5,3))*2,0))</f>
        <v/>
      </c>
    </row>
    <row r="239" spans="2:25">
      <c r="B239" s="13"/>
      <c r="C239" s="14"/>
      <c r="D239" s="14"/>
      <c r="U239" s="13"/>
      <c r="V239" s="12"/>
      <c r="W239" t="str">
        <f t="shared" si="3"/>
        <v/>
      </c>
      <c r="Y239" t="str">
        <f>IF(A239="","",ROUND((J239*4+K239*3+IF(I239="P236",5,IF(I239="P237",4,IF(I239="P238",3,2)))*2+IF(Z239="Sí",5,3))*2,0))</f>
        <v/>
      </c>
    </row>
    <row r="240" spans="2:25">
      <c r="B240" s="13"/>
      <c r="C240" s="14"/>
      <c r="D240" s="14"/>
      <c r="U240" s="13"/>
      <c r="V240" s="12"/>
      <c r="W240" t="str">
        <f t="shared" si="3"/>
        <v/>
      </c>
      <c r="Y240" t="str">
        <f>IF(A240="","",ROUND((J240*4+K240*3+IF(I240="P237",5,IF(I240="P238",4,IF(I240="P239",3,2)))*2+IF(Z240="Sí",5,3))*2,0))</f>
        <v/>
      </c>
    </row>
    <row r="241" spans="2:25">
      <c r="B241" s="13"/>
      <c r="C241" s="14"/>
      <c r="D241" s="14"/>
      <c r="U241" s="13"/>
      <c r="V241" s="12"/>
      <c r="W241" t="str">
        <f t="shared" si="3"/>
        <v/>
      </c>
      <c r="Y241" t="str">
        <f>IF(A241="","",ROUND((J241*4+K241*3+IF(I241="P238",5,IF(I241="P239",4,IF(I241="P240",3,2)))*2+IF(Z241="Sí",5,3))*2,0))</f>
        <v/>
      </c>
    </row>
    <row r="242" spans="2:25">
      <c r="B242" s="13"/>
      <c r="C242" s="14"/>
      <c r="D242" s="14"/>
      <c r="U242" s="13"/>
      <c r="V242" s="12"/>
      <c r="W242" t="str">
        <f t="shared" si="3"/>
        <v/>
      </c>
      <c r="Y242" t="str">
        <f>IF(A242="","",ROUND((J242*4+K242*3+IF(I242="P239",5,IF(I242="P240",4,IF(I242="P241",3,2)))*2+IF(Z242="Sí",5,3))*2,0))</f>
        <v/>
      </c>
    </row>
    <row r="243" spans="2:25">
      <c r="B243" s="13"/>
      <c r="C243" s="14"/>
      <c r="D243" s="14"/>
      <c r="U243" s="13"/>
      <c r="V243" s="12"/>
      <c r="W243" t="str">
        <f t="shared" si="3"/>
        <v/>
      </c>
      <c r="Y243" t="str">
        <f>IF(A243="","",ROUND((J243*4+K243*3+IF(I243="P240",5,IF(I243="P241",4,IF(I243="P242",3,2)))*2+IF(Z243="Sí",5,3))*2,0))</f>
        <v/>
      </c>
    </row>
    <row r="244" spans="2:25">
      <c r="B244" s="13"/>
      <c r="C244" s="14"/>
      <c r="D244" s="14"/>
      <c r="U244" s="13"/>
      <c r="V244" s="12"/>
      <c r="W244" t="str">
        <f t="shared" si="3"/>
        <v/>
      </c>
      <c r="Y244" t="str">
        <f>IF(A244="","",ROUND((J244*4+K244*3+IF(I244="P241",5,IF(I244="P242",4,IF(I244="P243",3,2)))*2+IF(Z244="Sí",5,3))*2,0))</f>
        <v/>
      </c>
    </row>
    <row r="245" spans="2:25">
      <c r="B245" s="13"/>
      <c r="C245" s="14"/>
      <c r="D245" s="14"/>
      <c r="U245" s="13"/>
      <c r="V245" s="12"/>
      <c r="W245" t="str">
        <f t="shared" si="3"/>
        <v/>
      </c>
      <c r="Y245" t="str">
        <f>IF(A245="","",ROUND((J245*4+K245*3+IF(I245="P242",5,IF(I245="P243",4,IF(I245="P244",3,2)))*2+IF(Z245="Sí",5,3))*2,0))</f>
        <v/>
      </c>
    </row>
    <row r="246" spans="2:25">
      <c r="B246" s="13"/>
      <c r="C246" s="14"/>
      <c r="D246" s="14"/>
      <c r="U246" s="13"/>
      <c r="V246" s="12"/>
      <c r="W246" t="str">
        <f t="shared" si="3"/>
        <v/>
      </c>
      <c r="Y246" t="str">
        <f>IF(A246="","",ROUND((J246*4+K246*3+IF(I246="P243",5,IF(I246="P244",4,IF(I246="P245",3,2)))*2+IF(Z246="Sí",5,3))*2,0))</f>
        <v/>
      </c>
    </row>
    <row r="247" spans="2:25">
      <c r="B247" s="13"/>
      <c r="C247" s="14"/>
      <c r="D247" s="14"/>
      <c r="U247" s="13"/>
      <c r="V247" s="12"/>
      <c r="W247" t="str">
        <f t="shared" si="3"/>
        <v/>
      </c>
      <c r="Y247" t="str">
        <f>IF(A247="","",ROUND((J247*4+K247*3+IF(I247="P244",5,IF(I247="P245",4,IF(I247="P246",3,2)))*2+IF(Z247="Sí",5,3))*2,0))</f>
        <v/>
      </c>
    </row>
    <row r="248" spans="2:25">
      <c r="B248" s="13"/>
      <c r="C248" s="14"/>
      <c r="D248" s="14"/>
      <c r="U248" s="13"/>
      <c r="V248" s="12"/>
      <c r="W248" t="str">
        <f t="shared" si="3"/>
        <v/>
      </c>
      <c r="Y248" t="str">
        <f>IF(A248="","",ROUND((J248*4+K248*3+IF(I248="P245",5,IF(I248="P246",4,IF(I248="P247",3,2)))*2+IF(Z248="Sí",5,3))*2,0))</f>
        <v/>
      </c>
    </row>
    <row r="249" spans="2:25">
      <c r="B249" s="13"/>
      <c r="C249" s="14"/>
      <c r="D249" s="14"/>
      <c r="U249" s="13"/>
      <c r="V249" s="12"/>
      <c r="W249" t="str">
        <f t="shared" si="3"/>
        <v/>
      </c>
      <c r="Y249" t="str">
        <f>IF(A249="","",ROUND((J249*4+K249*3+IF(I249="P246",5,IF(I249="P247",4,IF(I249="P248",3,2)))*2+IF(Z249="Sí",5,3))*2,0))</f>
        <v/>
      </c>
    </row>
    <row r="250" spans="2:25">
      <c r="B250" s="13"/>
      <c r="C250" s="14"/>
      <c r="D250" s="14"/>
      <c r="U250" s="13"/>
      <c r="V250" s="12"/>
      <c r="W250" t="str">
        <f t="shared" si="3"/>
        <v/>
      </c>
      <c r="Y250" t="str">
        <f>IF(A250="","",ROUND((J250*4+K250*3+IF(I250="P247",5,IF(I250="P248",4,IF(I250="P249",3,2)))*2+IF(Z250="Sí",5,3))*2,0))</f>
        <v/>
      </c>
    </row>
    <row r="251" spans="2:25">
      <c r="B251" s="13"/>
      <c r="C251" s="14"/>
      <c r="D251" s="14"/>
      <c r="U251" s="13"/>
      <c r="V251" s="12"/>
      <c r="W251" t="str">
        <f t="shared" si="3"/>
        <v/>
      </c>
      <c r="Y251" t="str">
        <f>IF(A251="","",ROUND((J251*4+K251*3+IF(I251="P248",5,IF(I251="P249",4,IF(I251="P250",3,2)))*2+IF(Z251="Sí",5,3))*2,0))</f>
        <v/>
      </c>
    </row>
    <row r="252" spans="2:25">
      <c r="B252" s="13"/>
      <c r="C252" s="14"/>
      <c r="D252" s="14"/>
      <c r="U252" s="13"/>
      <c r="V252" s="12"/>
      <c r="W252" t="str">
        <f t="shared" si="3"/>
        <v/>
      </c>
      <c r="Y252" t="str">
        <f>IF(A252="","",ROUND((J252*4+K252*3+IF(I252="P249",5,IF(I252="P250",4,IF(I252="P251",3,2)))*2+IF(Z252="Sí",5,3))*2,0))</f>
        <v/>
      </c>
    </row>
    <row r="253" spans="2:25">
      <c r="B253" s="13"/>
      <c r="C253" s="14"/>
      <c r="D253" s="14"/>
      <c r="U253" s="13"/>
      <c r="V253" s="12"/>
      <c r="W253" t="str">
        <f t="shared" si="3"/>
        <v/>
      </c>
      <c r="Y253" t="str">
        <f>IF(A253="","",ROUND((J253*4+K253*3+IF(I253="P250",5,IF(I253="P251",4,IF(I253="P252",3,2)))*2+IF(Z253="Sí",5,3))*2,0))</f>
        <v/>
      </c>
    </row>
    <row r="254" spans="2:25">
      <c r="B254" s="13"/>
      <c r="C254" s="14"/>
      <c r="D254" s="14"/>
      <c r="U254" s="13"/>
      <c r="V254" s="12"/>
      <c r="W254" t="str">
        <f t="shared" si="3"/>
        <v/>
      </c>
      <c r="Y254" t="str">
        <f>IF(A254="","",ROUND((J254*4+K254*3+IF(I254="P251",5,IF(I254="P252",4,IF(I254="P253",3,2)))*2+IF(Z254="Sí",5,3))*2,0))</f>
        <v/>
      </c>
    </row>
    <row r="255" spans="2:25">
      <c r="B255" s="13"/>
      <c r="C255" s="14"/>
      <c r="D255" s="14"/>
      <c r="U255" s="13"/>
      <c r="V255" s="12"/>
      <c r="W255" t="str">
        <f t="shared" si="3"/>
        <v/>
      </c>
      <c r="Y255" t="str">
        <f>IF(A255="","",ROUND((J255*4+K255*3+IF(I255="P252",5,IF(I255="P253",4,IF(I255="P254",3,2)))*2+IF(Z255="Sí",5,3))*2,0))</f>
        <v/>
      </c>
    </row>
    <row r="256" spans="2:25">
      <c r="B256" s="13"/>
      <c r="C256" s="14"/>
      <c r="D256" s="14"/>
      <c r="U256" s="13"/>
      <c r="V256" s="12"/>
      <c r="W256" t="str">
        <f t="shared" si="3"/>
        <v/>
      </c>
      <c r="Y256" t="str">
        <f>IF(A256="","",ROUND((J256*4+K256*3+IF(I256="P253",5,IF(I256="P254",4,IF(I256="P255",3,2)))*2+IF(Z256="Sí",5,3))*2,0))</f>
        <v/>
      </c>
    </row>
    <row r="257" spans="2:25">
      <c r="B257" s="13"/>
      <c r="C257" s="14"/>
      <c r="D257" s="14"/>
      <c r="U257" s="13"/>
      <c r="V257" s="12"/>
      <c r="W257" t="str">
        <f t="shared" si="3"/>
        <v/>
      </c>
      <c r="Y257" t="str">
        <f>IF(A257="","",ROUND((J257*4+K257*3+IF(I257="P254",5,IF(I257="P255",4,IF(I257="P256",3,2)))*2+IF(Z257="Sí",5,3))*2,0))</f>
        <v/>
      </c>
    </row>
    <row r="258" spans="2:25">
      <c r="B258" s="13"/>
      <c r="C258" s="14"/>
      <c r="D258" s="14"/>
      <c r="U258" s="13"/>
      <c r="V258" s="12"/>
      <c r="W258" t="str">
        <f t="shared" si="3"/>
        <v/>
      </c>
      <c r="Y258" t="str">
        <f>IF(A258="","",ROUND((J258*4+K258*3+IF(I258="P255",5,IF(I258="P256",4,IF(I258="P257",3,2)))*2+IF(Z258="Sí",5,3))*2,0))</f>
        <v/>
      </c>
    </row>
    <row r="259" spans="2:25">
      <c r="B259" s="13"/>
      <c r="C259" s="14"/>
      <c r="D259" s="14"/>
      <c r="U259" s="13"/>
      <c r="V259" s="12"/>
      <c r="W259" t="str">
        <f t="shared" si="3"/>
        <v/>
      </c>
      <c r="Y259" t="str">
        <f>IF(A259="","",ROUND((J259*4+K259*3+IF(I259="P256",5,IF(I259="P257",4,IF(I259="P258",3,2)))*2+IF(Z259="Sí",5,3))*2,0))</f>
        <v/>
      </c>
    </row>
    <row r="260" spans="2:25">
      <c r="B260" s="13"/>
      <c r="C260" s="14"/>
      <c r="D260" s="14"/>
      <c r="U260" s="13"/>
      <c r="V260" s="12"/>
      <c r="W260" t="str">
        <f t="shared" ref="W260:W323" si="4">IF(OR(C260="",D260=""),"",ROUND((D260-C260)*1440,0))</f>
        <v/>
      </c>
      <c r="Y260" t="str">
        <f>IF(A260="","",ROUND((J260*4+K260*3+IF(I260="P257",5,IF(I260="P258",4,IF(I260="P259",3,2)))*2+IF(Z260="Sí",5,3))*2,0))</f>
        <v/>
      </c>
    </row>
    <row r="261" spans="2:25">
      <c r="B261" s="13"/>
      <c r="C261" s="14"/>
      <c r="D261" s="14"/>
      <c r="U261" s="13"/>
      <c r="V261" s="12"/>
      <c r="W261" t="str">
        <f t="shared" si="4"/>
        <v/>
      </c>
      <c r="Y261" t="str">
        <f>IF(A261="","",ROUND((J261*4+K261*3+IF(I261="P258",5,IF(I261="P259",4,IF(I261="P260",3,2)))*2+IF(Z261="Sí",5,3))*2,0))</f>
        <v/>
      </c>
    </row>
    <row r="262" spans="2:25">
      <c r="B262" s="13"/>
      <c r="C262" s="14"/>
      <c r="D262" s="14"/>
      <c r="U262" s="13"/>
      <c r="V262" s="12"/>
      <c r="W262" t="str">
        <f t="shared" si="4"/>
        <v/>
      </c>
      <c r="Y262" t="str">
        <f>IF(A262="","",ROUND((J262*4+K262*3+IF(I262="P259",5,IF(I262="P260",4,IF(I262="P261",3,2)))*2+IF(Z262="Sí",5,3))*2,0))</f>
        <v/>
      </c>
    </row>
    <row r="263" spans="2:25">
      <c r="B263" s="13"/>
      <c r="C263" s="14"/>
      <c r="D263" s="14"/>
      <c r="U263" s="13"/>
      <c r="V263" s="12"/>
      <c r="W263" t="str">
        <f t="shared" si="4"/>
        <v/>
      </c>
      <c r="Y263" t="str">
        <f>IF(A263="","",ROUND((J263*4+K263*3+IF(I263="P260",5,IF(I263="P261",4,IF(I263="P262",3,2)))*2+IF(Z263="Sí",5,3))*2,0))</f>
        <v/>
      </c>
    </row>
    <row r="264" spans="2:25">
      <c r="B264" s="13"/>
      <c r="C264" s="14"/>
      <c r="D264" s="14"/>
      <c r="U264" s="13"/>
      <c r="V264" s="12"/>
      <c r="W264" t="str">
        <f t="shared" si="4"/>
        <v/>
      </c>
      <c r="Y264" t="str">
        <f>IF(A264="","",ROUND((J264*4+K264*3+IF(I264="P261",5,IF(I264="P262",4,IF(I264="P263",3,2)))*2+IF(Z264="Sí",5,3))*2,0))</f>
        <v/>
      </c>
    </row>
    <row r="265" spans="2:25">
      <c r="B265" s="13"/>
      <c r="C265" s="14"/>
      <c r="D265" s="14"/>
      <c r="U265" s="13"/>
      <c r="V265" s="12"/>
      <c r="W265" t="str">
        <f t="shared" si="4"/>
        <v/>
      </c>
      <c r="Y265" t="str">
        <f>IF(A265="","",ROUND((J265*4+K265*3+IF(I265="P262",5,IF(I265="P263",4,IF(I265="P264",3,2)))*2+IF(Z265="Sí",5,3))*2,0))</f>
        <v/>
      </c>
    </row>
    <row r="266" spans="2:25">
      <c r="B266" s="13"/>
      <c r="C266" s="14"/>
      <c r="D266" s="14"/>
      <c r="U266" s="13"/>
      <c r="V266" s="12"/>
      <c r="W266" t="str">
        <f t="shared" si="4"/>
        <v/>
      </c>
      <c r="Y266" t="str">
        <f>IF(A266="","",ROUND((J266*4+K266*3+IF(I266="P263",5,IF(I266="P264",4,IF(I266="P265",3,2)))*2+IF(Z266="Sí",5,3))*2,0))</f>
        <v/>
      </c>
    </row>
    <row r="267" spans="2:25">
      <c r="B267" s="13"/>
      <c r="C267" s="14"/>
      <c r="D267" s="14"/>
      <c r="U267" s="13"/>
      <c r="V267" s="12"/>
      <c r="W267" t="str">
        <f t="shared" si="4"/>
        <v/>
      </c>
      <c r="Y267" t="str">
        <f>IF(A267="","",ROUND((J267*4+K267*3+IF(I267="P264",5,IF(I267="P265",4,IF(I267="P266",3,2)))*2+IF(Z267="Sí",5,3))*2,0))</f>
        <v/>
      </c>
    </row>
    <row r="268" spans="2:25">
      <c r="B268" s="13"/>
      <c r="C268" s="14"/>
      <c r="D268" s="14"/>
      <c r="U268" s="13"/>
      <c r="V268" s="12"/>
      <c r="W268" t="str">
        <f t="shared" si="4"/>
        <v/>
      </c>
      <c r="Y268" t="str">
        <f>IF(A268="","",ROUND((J268*4+K268*3+IF(I268="P265",5,IF(I268="P266",4,IF(I268="P267",3,2)))*2+IF(Z268="Sí",5,3))*2,0))</f>
        <v/>
      </c>
    </row>
    <row r="269" spans="2:25">
      <c r="B269" s="13"/>
      <c r="C269" s="14"/>
      <c r="D269" s="14"/>
      <c r="U269" s="13"/>
      <c r="V269" s="12"/>
      <c r="W269" t="str">
        <f t="shared" si="4"/>
        <v/>
      </c>
      <c r="Y269" t="str">
        <f>IF(A269="","",ROUND((J269*4+K269*3+IF(I269="P266",5,IF(I269="P267",4,IF(I269="P268",3,2)))*2+IF(Z269="Sí",5,3))*2,0))</f>
        <v/>
      </c>
    </row>
    <row r="270" spans="2:25">
      <c r="B270" s="13"/>
      <c r="C270" s="14"/>
      <c r="D270" s="14"/>
      <c r="U270" s="13"/>
      <c r="V270" s="12"/>
      <c r="W270" t="str">
        <f t="shared" si="4"/>
        <v/>
      </c>
      <c r="Y270" t="str">
        <f>IF(A270="","",ROUND((J270*4+K270*3+IF(I270="P267",5,IF(I270="P268",4,IF(I270="P269",3,2)))*2+IF(Z270="Sí",5,3))*2,0))</f>
        <v/>
      </c>
    </row>
    <row r="271" spans="2:25">
      <c r="B271" s="13"/>
      <c r="C271" s="14"/>
      <c r="D271" s="14"/>
      <c r="U271" s="13"/>
      <c r="V271" s="12"/>
      <c r="W271" t="str">
        <f t="shared" si="4"/>
        <v/>
      </c>
      <c r="Y271" t="str">
        <f>IF(A271="","",ROUND((J271*4+K271*3+IF(I271="P268",5,IF(I271="P269",4,IF(I271="P270",3,2)))*2+IF(Z271="Sí",5,3))*2,0))</f>
        <v/>
      </c>
    </row>
    <row r="272" spans="2:25">
      <c r="B272" s="13"/>
      <c r="C272" s="14"/>
      <c r="D272" s="14"/>
      <c r="U272" s="13"/>
      <c r="V272" s="12"/>
      <c r="W272" t="str">
        <f t="shared" si="4"/>
        <v/>
      </c>
      <c r="Y272" t="str">
        <f>IF(A272="","",ROUND((J272*4+K272*3+IF(I272="P269",5,IF(I272="P270",4,IF(I272="P271",3,2)))*2+IF(Z272="Sí",5,3))*2,0))</f>
        <v/>
      </c>
    </row>
    <row r="273" spans="2:25">
      <c r="B273" s="13"/>
      <c r="C273" s="14"/>
      <c r="D273" s="14"/>
      <c r="U273" s="13"/>
      <c r="V273" s="12"/>
      <c r="W273" t="str">
        <f t="shared" si="4"/>
        <v/>
      </c>
      <c r="Y273" t="str">
        <f>IF(A273="","",ROUND((J273*4+K273*3+IF(I273="P270",5,IF(I273="P271",4,IF(I273="P272",3,2)))*2+IF(Z273="Sí",5,3))*2,0))</f>
        <v/>
      </c>
    </row>
    <row r="274" spans="2:25">
      <c r="B274" s="13"/>
      <c r="C274" s="14"/>
      <c r="D274" s="14"/>
      <c r="U274" s="13"/>
      <c r="V274" s="12"/>
      <c r="W274" t="str">
        <f t="shared" si="4"/>
        <v/>
      </c>
      <c r="Y274" t="str">
        <f>IF(A274="","",ROUND((J274*4+K274*3+IF(I274="P271",5,IF(I274="P272",4,IF(I274="P273",3,2)))*2+IF(Z274="Sí",5,3))*2,0))</f>
        <v/>
      </c>
    </row>
    <row r="275" spans="2:25">
      <c r="B275" s="13"/>
      <c r="C275" s="14"/>
      <c r="D275" s="14"/>
      <c r="U275" s="13"/>
      <c r="V275" s="12"/>
      <c r="W275" t="str">
        <f t="shared" si="4"/>
        <v/>
      </c>
      <c r="Y275" t="str">
        <f>IF(A275="","",ROUND((J275*4+K275*3+IF(I275="P272",5,IF(I275="P273",4,IF(I275="P274",3,2)))*2+IF(Z275="Sí",5,3))*2,0))</f>
        <v/>
      </c>
    </row>
    <row r="276" spans="2:25">
      <c r="B276" s="13"/>
      <c r="C276" s="14"/>
      <c r="D276" s="14"/>
      <c r="U276" s="13"/>
      <c r="V276" s="12"/>
      <c r="W276" t="str">
        <f t="shared" si="4"/>
        <v/>
      </c>
      <c r="Y276" t="str">
        <f>IF(A276="","",ROUND((J276*4+K276*3+IF(I276="P273",5,IF(I276="P274",4,IF(I276="P275",3,2)))*2+IF(Z276="Sí",5,3))*2,0))</f>
        <v/>
      </c>
    </row>
    <row r="277" spans="2:25">
      <c r="B277" s="13"/>
      <c r="C277" s="14"/>
      <c r="D277" s="14"/>
      <c r="U277" s="13"/>
      <c r="V277" s="12"/>
      <c r="W277" t="str">
        <f t="shared" si="4"/>
        <v/>
      </c>
      <c r="Y277" t="str">
        <f>IF(A277="","",ROUND((J277*4+K277*3+IF(I277="P274",5,IF(I277="P275",4,IF(I277="P276",3,2)))*2+IF(Z277="Sí",5,3))*2,0))</f>
        <v/>
      </c>
    </row>
    <row r="278" spans="2:25">
      <c r="B278" s="13"/>
      <c r="C278" s="14"/>
      <c r="D278" s="14"/>
      <c r="U278" s="13"/>
      <c r="V278" s="12"/>
      <c r="W278" t="str">
        <f t="shared" si="4"/>
        <v/>
      </c>
      <c r="Y278" t="str">
        <f>IF(A278="","",ROUND((J278*4+K278*3+IF(I278="P275",5,IF(I278="P276",4,IF(I278="P277",3,2)))*2+IF(Z278="Sí",5,3))*2,0))</f>
        <v/>
      </c>
    </row>
    <row r="279" spans="2:25">
      <c r="B279" s="13"/>
      <c r="C279" s="14"/>
      <c r="D279" s="14"/>
      <c r="U279" s="13"/>
      <c r="V279" s="12"/>
      <c r="W279" t="str">
        <f t="shared" si="4"/>
        <v/>
      </c>
      <c r="Y279" t="str">
        <f>IF(A279="","",ROUND((J279*4+K279*3+IF(I279="P276",5,IF(I279="P277",4,IF(I279="P278",3,2)))*2+IF(Z279="Sí",5,3))*2,0))</f>
        <v/>
      </c>
    </row>
    <row r="280" spans="2:25">
      <c r="B280" s="13"/>
      <c r="C280" s="14"/>
      <c r="D280" s="14"/>
      <c r="U280" s="13"/>
      <c r="V280" s="12"/>
      <c r="W280" t="str">
        <f t="shared" si="4"/>
        <v/>
      </c>
      <c r="Y280" t="str">
        <f>IF(A280="","",ROUND((J280*4+K280*3+IF(I280="P277",5,IF(I280="P278",4,IF(I280="P279",3,2)))*2+IF(Z280="Sí",5,3))*2,0))</f>
        <v/>
      </c>
    </row>
    <row r="281" spans="2:25">
      <c r="B281" s="13"/>
      <c r="C281" s="14"/>
      <c r="D281" s="14"/>
      <c r="U281" s="13"/>
      <c r="V281" s="12"/>
      <c r="W281" t="str">
        <f t="shared" si="4"/>
        <v/>
      </c>
      <c r="Y281" t="str">
        <f>IF(A281="","",ROUND((J281*4+K281*3+IF(I281="P278",5,IF(I281="P279",4,IF(I281="P280",3,2)))*2+IF(Z281="Sí",5,3))*2,0))</f>
        <v/>
      </c>
    </row>
    <row r="282" spans="2:25">
      <c r="B282" s="13"/>
      <c r="C282" s="14"/>
      <c r="D282" s="14"/>
      <c r="U282" s="13"/>
      <c r="V282" s="12"/>
      <c r="W282" t="str">
        <f t="shared" si="4"/>
        <v/>
      </c>
      <c r="Y282" t="str">
        <f>IF(A282="","",ROUND((J282*4+K282*3+IF(I282="P279",5,IF(I282="P280",4,IF(I282="P281",3,2)))*2+IF(Z282="Sí",5,3))*2,0))</f>
        <v/>
      </c>
    </row>
    <row r="283" spans="2:25">
      <c r="B283" s="13"/>
      <c r="C283" s="14"/>
      <c r="D283" s="14"/>
      <c r="U283" s="13"/>
      <c r="V283" s="12"/>
      <c r="W283" t="str">
        <f t="shared" si="4"/>
        <v/>
      </c>
      <c r="Y283" t="str">
        <f>IF(A283="","",ROUND((J283*4+K283*3+IF(I283="P280",5,IF(I283="P281",4,IF(I283="P282",3,2)))*2+IF(Z283="Sí",5,3))*2,0))</f>
        <v/>
      </c>
    </row>
    <row r="284" spans="2:25">
      <c r="B284" s="13"/>
      <c r="C284" s="14"/>
      <c r="D284" s="14"/>
      <c r="U284" s="13"/>
      <c r="V284" s="12"/>
      <c r="W284" t="str">
        <f t="shared" si="4"/>
        <v/>
      </c>
      <c r="Y284" t="str">
        <f>IF(A284="","",ROUND((J284*4+K284*3+IF(I284="P281",5,IF(I284="P282",4,IF(I284="P283",3,2)))*2+IF(Z284="Sí",5,3))*2,0))</f>
        <v/>
      </c>
    </row>
    <row r="285" spans="2:25">
      <c r="B285" s="13"/>
      <c r="C285" s="14"/>
      <c r="D285" s="14"/>
      <c r="U285" s="13"/>
      <c r="V285" s="12"/>
      <c r="W285" t="str">
        <f t="shared" si="4"/>
        <v/>
      </c>
      <c r="Y285" t="str">
        <f>IF(A285="","",ROUND((J285*4+K285*3+IF(I285="P282",5,IF(I285="P283",4,IF(I285="P284",3,2)))*2+IF(Z285="Sí",5,3))*2,0))</f>
        <v/>
      </c>
    </row>
    <row r="286" spans="2:25">
      <c r="B286" s="13"/>
      <c r="C286" s="14"/>
      <c r="D286" s="14"/>
      <c r="U286" s="13"/>
      <c r="V286" s="12"/>
      <c r="W286" t="str">
        <f t="shared" si="4"/>
        <v/>
      </c>
      <c r="Y286" t="str">
        <f>IF(A286="","",ROUND((J286*4+K286*3+IF(I286="P283",5,IF(I286="P284",4,IF(I286="P285",3,2)))*2+IF(Z286="Sí",5,3))*2,0))</f>
        <v/>
      </c>
    </row>
    <row r="287" spans="2:25">
      <c r="B287" s="13"/>
      <c r="C287" s="14"/>
      <c r="D287" s="14"/>
      <c r="U287" s="13"/>
      <c r="V287" s="12"/>
      <c r="W287" t="str">
        <f t="shared" si="4"/>
        <v/>
      </c>
      <c r="Y287" t="str">
        <f>IF(A287="","",ROUND((J287*4+K287*3+IF(I287="P284",5,IF(I287="P285",4,IF(I287="P286",3,2)))*2+IF(Z287="Sí",5,3))*2,0))</f>
        <v/>
      </c>
    </row>
    <row r="288" spans="2:25">
      <c r="B288" s="13"/>
      <c r="C288" s="14"/>
      <c r="D288" s="14"/>
      <c r="U288" s="13"/>
      <c r="V288" s="12"/>
      <c r="W288" t="str">
        <f t="shared" si="4"/>
        <v/>
      </c>
      <c r="Y288" t="str">
        <f>IF(A288="","",ROUND((J288*4+K288*3+IF(I288="P285",5,IF(I288="P286",4,IF(I288="P287",3,2)))*2+IF(Z288="Sí",5,3))*2,0))</f>
        <v/>
      </c>
    </row>
    <row r="289" spans="2:25">
      <c r="B289" s="13"/>
      <c r="C289" s="14"/>
      <c r="D289" s="14"/>
      <c r="U289" s="13"/>
      <c r="V289" s="12"/>
      <c r="W289" t="str">
        <f t="shared" si="4"/>
        <v/>
      </c>
      <c r="Y289" t="str">
        <f>IF(A289="","",ROUND((J289*4+K289*3+IF(I289="P286",5,IF(I289="P287",4,IF(I289="P288",3,2)))*2+IF(Z289="Sí",5,3))*2,0))</f>
        <v/>
      </c>
    </row>
    <row r="290" spans="2:25">
      <c r="B290" s="13"/>
      <c r="C290" s="14"/>
      <c r="D290" s="14"/>
      <c r="U290" s="13"/>
      <c r="V290" s="12"/>
      <c r="W290" t="str">
        <f t="shared" si="4"/>
        <v/>
      </c>
      <c r="Y290" t="str">
        <f>IF(A290="","",ROUND((J290*4+K290*3+IF(I290="P287",5,IF(I290="P288",4,IF(I290="P289",3,2)))*2+IF(Z290="Sí",5,3))*2,0))</f>
        <v/>
      </c>
    </row>
    <row r="291" spans="2:25">
      <c r="B291" s="13"/>
      <c r="C291" s="14"/>
      <c r="D291" s="14"/>
      <c r="U291" s="13"/>
      <c r="V291" s="12"/>
      <c r="W291" t="str">
        <f t="shared" si="4"/>
        <v/>
      </c>
      <c r="Y291" t="str">
        <f>IF(A291="","",ROUND((J291*4+K291*3+IF(I291="P288",5,IF(I291="P289",4,IF(I291="P290",3,2)))*2+IF(Z291="Sí",5,3))*2,0))</f>
        <v/>
      </c>
    </row>
    <row r="292" spans="2:25">
      <c r="B292" s="13"/>
      <c r="C292" s="14"/>
      <c r="D292" s="14"/>
      <c r="U292" s="13"/>
      <c r="V292" s="12"/>
      <c r="W292" t="str">
        <f t="shared" si="4"/>
        <v/>
      </c>
      <c r="Y292" t="str">
        <f>IF(A292="","",ROUND((J292*4+K292*3+IF(I292="P289",5,IF(I292="P290",4,IF(I292="P291",3,2)))*2+IF(Z292="Sí",5,3))*2,0))</f>
        <v/>
      </c>
    </row>
    <row r="293" spans="2:25">
      <c r="B293" s="13"/>
      <c r="C293" s="14"/>
      <c r="D293" s="14"/>
      <c r="U293" s="13"/>
      <c r="V293" s="12"/>
      <c r="W293" t="str">
        <f t="shared" si="4"/>
        <v/>
      </c>
      <c r="Y293" t="str">
        <f>IF(A293="","",ROUND((J293*4+K293*3+IF(I293="P290",5,IF(I293="P291",4,IF(I293="P292",3,2)))*2+IF(Z293="Sí",5,3))*2,0))</f>
        <v/>
      </c>
    </row>
    <row r="294" spans="2:25">
      <c r="B294" s="13"/>
      <c r="C294" s="14"/>
      <c r="D294" s="14"/>
      <c r="U294" s="13"/>
      <c r="V294" s="12"/>
      <c r="W294" t="str">
        <f t="shared" si="4"/>
        <v/>
      </c>
      <c r="Y294" t="str">
        <f>IF(A294="","",ROUND((J294*4+K294*3+IF(I294="P291",5,IF(I294="P292",4,IF(I294="P293",3,2)))*2+IF(Z294="Sí",5,3))*2,0))</f>
        <v/>
      </c>
    </row>
    <row r="295" spans="2:25">
      <c r="B295" s="13"/>
      <c r="C295" s="14"/>
      <c r="D295" s="14"/>
      <c r="U295" s="13"/>
      <c r="V295" s="12"/>
      <c r="W295" t="str">
        <f t="shared" si="4"/>
        <v/>
      </c>
      <c r="Y295" t="str">
        <f>IF(A295="","",ROUND((J295*4+K295*3+IF(I295="P292",5,IF(I295="P293",4,IF(I295="P294",3,2)))*2+IF(Z295="Sí",5,3))*2,0))</f>
        <v/>
      </c>
    </row>
    <row r="296" spans="2:25">
      <c r="B296" s="13"/>
      <c r="C296" s="14"/>
      <c r="D296" s="14"/>
      <c r="U296" s="13"/>
      <c r="V296" s="12"/>
      <c r="W296" t="str">
        <f t="shared" si="4"/>
        <v/>
      </c>
      <c r="Y296" t="str">
        <f>IF(A296="","",ROUND((J296*4+K296*3+IF(I296="P293",5,IF(I296="P294",4,IF(I296="P295",3,2)))*2+IF(Z296="Sí",5,3))*2,0))</f>
        <v/>
      </c>
    </row>
    <row r="297" spans="2:25">
      <c r="B297" s="13"/>
      <c r="C297" s="14"/>
      <c r="D297" s="14"/>
      <c r="U297" s="13"/>
      <c r="V297" s="12"/>
      <c r="W297" t="str">
        <f t="shared" si="4"/>
        <v/>
      </c>
      <c r="Y297" t="str">
        <f>IF(A297="","",ROUND((J297*4+K297*3+IF(I297="P294",5,IF(I297="P295",4,IF(I297="P296",3,2)))*2+IF(Z297="Sí",5,3))*2,0))</f>
        <v/>
      </c>
    </row>
    <row r="298" spans="2:25">
      <c r="B298" s="13"/>
      <c r="C298" s="14"/>
      <c r="D298" s="14"/>
      <c r="U298" s="13"/>
      <c r="V298" s="12"/>
      <c r="W298" t="str">
        <f t="shared" si="4"/>
        <v/>
      </c>
      <c r="Y298" t="str">
        <f>IF(A298="","",ROUND((J298*4+K298*3+IF(I298="P295",5,IF(I298="P296",4,IF(I298="P297",3,2)))*2+IF(Z298="Sí",5,3))*2,0))</f>
        <v/>
      </c>
    </row>
    <row r="299" spans="2:25">
      <c r="B299" s="13"/>
      <c r="C299" s="14"/>
      <c r="D299" s="14"/>
      <c r="U299" s="13"/>
      <c r="V299" s="12"/>
      <c r="W299" t="str">
        <f t="shared" si="4"/>
        <v/>
      </c>
      <c r="Y299" t="str">
        <f>IF(A299="","",ROUND((J299*4+K299*3+IF(I299="P296",5,IF(I299="P297",4,IF(I299="P298",3,2)))*2+IF(Z299="Sí",5,3))*2,0))</f>
        <v/>
      </c>
    </row>
    <row r="300" spans="2:25">
      <c r="B300" s="13"/>
      <c r="C300" s="14"/>
      <c r="D300" s="14"/>
      <c r="U300" s="13"/>
      <c r="V300" s="12"/>
      <c r="W300" t="str">
        <f t="shared" si="4"/>
        <v/>
      </c>
      <c r="Y300" t="str">
        <f>IF(A300="","",ROUND((J300*4+K300*3+IF(I300="P297",5,IF(I300="P298",4,IF(I300="P299",3,2)))*2+IF(Z300="Sí",5,3))*2,0))</f>
        <v/>
      </c>
    </row>
    <row r="301" spans="2:25">
      <c r="B301" s="13"/>
      <c r="C301" s="14"/>
      <c r="D301" s="14"/>
      <c r="U301" s="13"/>
      <c r="V301" s="12"/>
      <c r="W301" t="str">
        <f t="shared" si="4"/>
        <v/>
      </c>
      <c r="Y301" t="str">
        <f>IF(A301="","",ROUND((J301*4+K301*3+IF(I301="P298",5,IF(I301="P299",4,IF(I301="P300",3,2)))*2+IF(Z301="Sí",5,3))*2,0))</f>
        <v/>
      </c>
    </row>
    <row r="302" spans="2:25">
      <c r="B302" s="13"/>
      <c r="C302" s="14"/>
      <c r="D302" s="14"/>
      <c r="U302" s="13"/>
      <c r="V302" s="12"/>
      <c r="W302" t="str">
        <f t="shared" si="4"/>
        <v/>
      </c>
      <c r="Y302" t="str">
        <f>IF(A302="","",ROUND((J302*4+K302*3+IF(I302="P299",5,IF(I302="P300",4,IF(I302="P301",3,2)))*2+IF(Z302="Sí",5,3))*2,0))</f>
        <v/>
      </c>
    </row>
    <row r="303" spans="2:25">
      <c r="B303" s="13"/>
      <c r="C303" s="14"/>
      <c r="D303" s="14"/>
      <c r="U303" s="13"/>
      <c r="V303" s="12"/>
      <c r="W303" t="str">
        <f t="shared" si="4"/>
        <v/>
      </c>
      <c r="Y303" t="str">
        <f>IF(A303="","",ROUND((J303*4+K303*3+IF(I303="P300",5,IF(I303="P301",4,IF(I303="P302",3,2)))*2+IF(Z303="Sí",5,3))*2,0))</f>
        <v/>
      </c>
    </row>
    <row r="304" spans="2:25">
      <c r="B304" s="13"/>
      <c r="C304" s="14"/>
      <c r="D304" s="14"/>
      <c r="U304" s="13"/>
      <c r="V304" s="12"/>
      <c r="W304" t="str">
        <f t="shared" si="4"/>
        <v/>
      </c>
      <c r="Y304" t="str">
        <f>IF(A304="","",ROUND((J304*4+K304*3+IF(I304="P301",5,IF(I304="P302",4,IF(I304="P303",3,2)))*2+IF(Z304="Sí",5,3))*2,0))</f>
        <v/>
      </c>
    </row>
    <row r="305" spans="2:25">
      <c r="B305" s="13"/>
      <c r="C305" s="14"/>
      <c r="D305" s="14"/>
      <c r="U305" s="13"/>
      <c r="V305" s="12"/>
      <c r="W305" t="str">
        <f t="shared" si="4"/>
        <v/>
      </c>
      <c r="Y305" t="str">
        <f>IF(A305="","",ROUND((J305*4+K305*3+IF(I305="P302",5,IF(I305="P303",4,IF(I305="P304",3,2)))*2+IF(Z305="Sí",5,3))*2,0))</f>
        <v/>
      </c>
    </row>
    <row r="306" spans="2:25">
      <c r="B306" s="13"/>
      <c r="C306" s="14"/>
      <c r="D306" s="14"/>
      <c r="U306" s="13"/>
      <c r="V306" s="12"/>
      <c r="W306" t="str">
        <f t="shared" si="4"/>
        <v/>
      </c>
      <c r="Y306" t="str">
        <f>IF(A306="","",ROUND((J306*4+K306*3+IF(I306="P303",5,IF(I306="P304",4,IF(I306="P305",3,2)))*2+IF(Z306="Sí",5,3))*2,0))</f>
        <v/>
      </c>
    </row>
    <row r="307" spans="2:25">
      <c r="B307" s="13"/>
      <c r="C307" s="14"/>
      <c r="D307" s="14"/>
      <c r="U307" s="13"/>
      <c r="V307" s="12"/>
      <c r="W307" t="str">
        <f t="shared" si="4"/>
        <v/>
      </c>
      <c r="Y307" t="str">
        <f>IF(A307="","",ROUND((J307*4+K307*3+IF(I307="P304",5,IF(I307="P305",4,IF(I307="P306",3,2)))*2+IF(Z307="Sí",5,3))*2,0))</f>
        <v/>
      </c>
    </row>
    <row r="308" spans="2:25">
      <c r="B308" s="13"/>
      <c r="C308" s="14"/>
      <c r="D308" s="14"/>
      <c r="U308" s="13"/>
      <c r="V308" s="12"/>
      <c r="W308" t="str">
        <f t="shared" si="4"/>
        <v/>
      </c>
      <c r="Y308" t="str">
        <f>IF(A308="","",ROUND((J308*4+K308*3+IF(I308="P305",5,IF(I308="P306",4,IF(I308="P307",3,2)))*2+IF(Z308="Sí",5,3))*2,0))</f>
        <v/>
      </c>
    </row>
    <row r="309" spans="2:25">
      <c r="B309" s="13"/>
      <c r="C309" s="14"/>
      <c r="D309" s="14"/>
      <c r="U309" s="13"/>
      <c r="V309" s="12"/>
      <c r="W309" t="str">
        <f t="shared" si="4"/>
        <v/>
      </c>
      <c r="Y309" t="str">
        <f>IF(A309="","",ROUND((J309*4+K309*3+IF(I309="P306",5,IF(I309="P307",4,IF(I309="P308",3,2)))*2+IF(Z309="Sí",5,3))*2,0))</f>
        <v/>
      </c>
    </row>
    <row r="310" spans="2:25">
      <c r="B310" s="13"/>
      <c r="C310" s="14"/>
      <c r="D310" s="14"/>
      <c r="U310" s="13"/>
      <c r="V310" s="12"/>
      <c r="W310" t="str">
        <f t="shared" si="4"/>
        <v/>
      </c>
      <c r="Y310" t="str">
        <f>IF(A310="","",ROUND((J310*4+K310*3+IF(I310="P307",5,IF(I310="P308",4,IF(I310="P309",3,2)))*2+IF(Z310="Sí",5,3))*2,0))</f>
        <v/>
      </c>
    </row>
    <row r="311" spans="2:25">
      <c r="B311" s="13"/>
      <c r="C311" s="14"/>
      <c r="D311" s="14"/>
      <c r="U311" s="13"/>
      <c r="V311" s="12"/>
      <c r="W311" t="str">
        <f t="shared" si="4"/>
        <v/>
      </c>
      <c r="Y311" t="str">
        <f>IF(A311="","",ROUND((J311*4+K311*3+IF(I311="P308",5,IF(I311="P309",4,IF(I311="P310",3,2)))*2+IF(Z311="Sí",5,3))*2,0))</f>
        <v/>
      </c>
    </row>
    <row r="312" spans="2:25">
      <c r="B312" s="13"/>
      <c r="C312" s="14"/>
      <c r="D312" s="14"/>
      <c r="U312" s="13"/>
      <c r="V312" s="12"/>
      <c r="W312" t="str">
        <f t="shared" si="4"/>
        <v/>
      </c>
      <c r="Y312" t="str">
        <f>IF(A312="","",ROUND((J312*4+K312*3+IF(I312="P309",5,IF(I312="P310",4,IF(I312="P311",3,2)))*2+IF(Z312="Sí",5,3))*2,0))</f>
        <v/>
      </c>
    </row>
    <row r="313" spans="2:25">
      <c r="B313" s="13"/>
      <c r="C313" s="14"/>
      <c r="D313" s="14"/>
      <c r="U313" s="13"/>
      <c r="V313" s="12"/>
      <c r="W313" t="str">
        <f t="shared" si="4"/>
        <v/>
      </c>
      <c r="Y313" t="str">
        <f>IF(A313="","",ROUND((J313*4+K313*3+IF(I313="P310",5,IF(I313="P311",4,IF(I313="P312",3,2)))*2+IF(Z313="Sí",5,3))*2,0))</f>
        <v/>
      </c>
    </row>
    <row r="314" spans="2:25">
      <c r="B314" s="13"/>
      <c r="C314" s="14"/>
      <c r="D314" s="14"/>
      <c r="U314" s="13"/>
      <c r="V314" s="12"/>
      <c r="W314" t="str">
        <f t="shared" si="4"/>
        <v/>
      </c>
      <c r="Y314" t="str">
        <f>IF(A314="","",ROUND((J314*4+K314*3+IF(I314="P311",5,IF(I314="P312",4,IF(I314="P313",3,2)))*2+IF(Z314="Sí",5,3))*2,0))</f>
        <v/>
      </c>
    </row>
    <row r="315" spans="2:25">
      <c r="B315" s="13"/>
      <c r="C315" s="14"/>
      <c r="D315" s="14"/>
      <c r="U315" s="13"/>
      <c r="V315" s="12"/>
      <c r="W315" t="str">
        <f t="shared" si="4"/>
        <v/>
      </c>
      <c r="Y315" t="str">
        <f>IF(A315="","",ROUND((J315*4+K315*3+IF(I315="P312",5,IF(I315="P313",4,IF(I315="P314",3,2)))*2+IF(Z315="Sí",5,3))*2,0))</f>
        <v/>
      </c>
    </row>
    <row r="316" spans="2:25">
      <c r="B316" s="13"/>
      <c r="C316" s="14"/>
      <c r="D316" s="14"/>
      <c r="U316" s="13"/>
      <c r="V316" s="12"/>
      <c r="W316" t="str">
        <f t="shared" si="4"/>
        <v/>
      </c>
      <c r="Y316" t="str">
        <f>IF(A316="","",ROUND((J316*4+K316*3+IF(I316="P313",5,IF(I316="P314",4,IF(I316="P315",3,2)))*2+IF(Z316="Sí",5,3))*2,0))</f>
        <v/>
      </c>
    </row>
    <row r="317" spans="2:25">
      <c r="B317" s="13"/>
      <c r="C317" s="14"/>
      <c r="D317" s="14"/>
      <c r="U317" s="13"/>
      <c r="V317" s="12"/>
      <c r="W317" t="str">
        <f t="shared" si="4"/>
        <v/>
      </c>
      <c r="Y317" t="str">
        <f>IF(A317="","",ROUND((J317*4+K317*3+IF(I317="P314",5,IF(I317="P315",4,IF(I317="P316",3,2)))*2+IF(Z317="Sí",5,3))*2,0))</f>
        <v/>
      </c>
    </row>
    <row r="318" spans="2:25">
      <c r="B318" s="13"/>
      <c r="C318" s="14"/>
      <c r="D318" s="14"/>
      <c r="U318" s="13"/>
      <c r="V318" s="12"/>
      <c r="W318" t="str">
        <f t="shared" si="4"/>
        <v/>
      </c>
      <c r="Y318" t="str">
        <f>IF(A318="","",ROUND((J318*4+K318*3+IF(I318="P315",5,IF(I318="P316",4,IF(I318="P317",3,2)))*2+IF(Z318="Sí",5,3))*2,0))</f>
        <v/>
      </c>
    </row>
    <row r="319" spans="2:25">
      <c r="B319" s="13"/>
      <c r="C319" s="14"/>
      <c r="D319" s="14"/>
      <c r="U319" s="13"/>
      <c r="V319" s="12"/>
      <c r="W319" t="str">
        <f t="shared" si="4"/>
        <v/>
      </c>
      <c r="Y319" t="str">
        <f>IF(A319="","",ROUND((J319*4+K319*3+IF(I319="P316",5,IF(I319="P317",4,IF(I319="P318",3,2)))*2+IF(Z319="Sí",5,3))*2,0))</f>
        <v/>
      </c>
    </row>
    <row r="320" spans="2:25">
      <c r="B320" s="13"/>
      <c r="C320" s="14"/>
      <c r="D320" s="14"/>
      <c r="U320" s="13"/>
      <c r="V320" s="12"/>
      <c r="W320" t="str">
        <f t="shared" si="4"/>
        <v/>
      </c>
      <c r="Y320" t="str">
        <f>IF(A320="","",ROUND((J320*4+K320*3+IF(I320="P317",5,IF(I320="P318",4,IF(I320="P319",3,2)))*2+IF(Z320="Sí",5,3))*2,0))</f>
        <v/>
      </c>
    </row>
    <row r="321" spans="2:25">
      <c r="B321" s="13"/>
      <c r="C321" s="14"/>
      <c r="D321" s="14"/>
      <c r="U321" s="13"/>
      <c r="V321" s="12"/>
      <c r="W321" t="str">
        <f t="shared" si="4"/>
        <v/>
      </c>
      <c r="Y321" t="str">
        <f>IF(A321="","",ROUND((J321*4+K321*3+IF(I321="P318",5,IF(I321="P319",4,IF(I321="P320",3,2)))*2+IF(Z321="Sí",5,3))*2,0))</f>
        <v/>
      </c>
    </row>
    <row r="322" spans="2:25">
      <c r="B322" s="13"/>
      <c r="C322" s="14"/>
      <c r="D322" s="14"/>
      <c r="U322" s="13"/>
      <c r="V322" s="12"/>
      <c r="W322" t="str">
        <f t="shared" si="4"/>
        <v/>
      </c>
      <c r="Y322" t="str">
        <f>IF(A322="","",ROUND((J322*4+K322*3+IF(I322="P319",5,IF(I322="P320",4,IF(I322="P321",3,2)))*2+IF(Z322="Sí",5,3))*2,0))</f>
        <v/>
      </c>
    </row>
    <row r="323" spans="2:25">
      <c r="B323" s="13"/>
      <c r="C323" s="14"/>
      <c r="D323" s="14"/>
      <c r="U323" s="13"/>
      <c r="V323" s="12"/>
      <c r="W323" t="str">
        <f t="shared" si="4"/>
        <v/>
      </c>
      <c r="Y323" t="str">
        <f>IF(A323="","",ROUND((J323*4+K323*3+IF(I323="P320",5,IF(I323="P321",4,IF(I323="P322",3,2)))*2+IF(Z323="Sí",5,3))*2,0))</f>
        <v/>
      </c>
    </row>
    <row r="324" spans="2:25">
      <c r="B324" s="13"/>
      <c r="C324" s="14"/>
      <c r="D324" s="14"/>
      <c r="U324" s="13"/>
      <c r="V324" s="12"/>
      <c r="W324" t="str">
        <f t="shared" ref="W324:W387" si="5">IF(OR(C324="",D324=""),"",ROUND((D324-C324)*1440,0))</f>
        <v/>
      </c>
      <c r="Y324" t="str">
        <f>IF(A324="","",ROUND((J324*4+K324*3+IF(I324="P321",5,IF(I324="P322",4,IF(I324="P323",3,2)))*2+IF(Z324="Sí",5,3))*2,0))</f>
        <v/>
      </c>
    </row>
    <row r="325" spans="2:25">
      <c r="B325" s="13"/>
      <c r="C325" s="14"/>
      <c r="D325" s="14"/>
      <c r="U325" s="13"/>
      <c r="V325" s="12"/>
      <c r="W325" t="str">
        <f t="shared" si="5"/>
        <v/>
      </c>
      <c r="Y325" t="str">
        <f>IF(A325="","",ROUND((J325*4+K325*3+IF(I325="P322",5,IF(I325="P323",4,IF(I325="P324",3,2)))*2+IF(Z325="Sí",5,3))*2,0))</f>
        <v/>
      </c>
    </row>
    <row r="326" spans="2:25">
      <c r="B326" s="13"/>
      <c r="C326" s="14"/>
      <c r="D326" s="14"/>
      <c r="U326" s="13"/>
      <c r="V326" s="12"/>
      <c r="W326" t="str">
        <f t="shared" si="5"/>
        <v/>
      </c>
      <c r="Y326" t="str">
        <f>IF(A326="","",ROUND((J326*4+K326*3+IF(I326="P323",5,IF(I326="P324",4,IF(I326="P325",3,2)))*2+IF(Z326="Sí",5,3))*2,0))</f>
        <v/>
      </c>
    </row>
    <row r="327" spans="2:25">
      <c r="B327" s="13"/>
      <c r="C327" s="14"/>
      <c r="D327" s="14"/>
      <c r="U327" s="13"/>
      <c r="V327" s="12"/>
      <c r="W327" t="str">
        <f t="shared" si="5"/>
        <v/>
      </c>
      <c r="Y327" t="str">
        <f>IF(A327="","",ROUND((J327*4+K327*3+IF(I327="P324",5,IF(I327="P325",4,IF(I327="P326",3,2)))*2+IF(Z327="Sí",5,3))*2,0))</f>
        <v/>
      </c>
    </row>
    <row r="328" spans="2:25">
      <c r="B328" s="13"/>
      <c r="C328" s="14"/>
      <c r="D328" s="14"/>
      <c r="U328" s="13"/>
      <c r="V328" s="12"/>
      <c r="W328" t="str">
        <f t="shared" si="5"/>
        <v/>
      </c>
      <c r="Y328" t="str">
        <f>IF(A328="","",ROUND((J328*4+K328*3+IF(I328="P325",5,IF(I328="P326",4,IF(I328="P327",3,2)))*2+IF(Z328="Sí",5,3))*2,0))</f>
        <v/>
      </c>
    </row>
    <row r="329" spans="2:25">
      <c r="B329" s="13"/>
      <c r="C329" s="14"/>
      <c r="D329" s="14"/>
      <c r="U329" s="13"/>
      <c r="V329" s="12"/>
      <c r="W329" t="str">
        <f t="shared" si="5"/>
        <v/>
      </c>
      <c r="Y329" t="str">
        <f>IF(A329="","",ROUND((J329*4+K329*3+IF(I329="P326",5,IF(I329="P327",4,IF(I329="P328",3,2)))*2+IF(Z329="Sí",5,3))*2,0))</f>
        <v/>
      </c>
    </row>
    <row r="330" spans="2:25">
      <c r="B330" s="13"/>
      <c r="C330" s="14"/>
      <c r="D330" s="14"/>
      <c r="U330" s="13"/>
      <c r="V330" s="12"/>
      <c r="W330" t="str">
        <f t="shared" si="5"/>
        <v/>
      </c>
      <c r="Y330" t="str">
        <f>IF(A330="","",ROUND((J330*4+K330*3+IF(I330="P327",5,IF(I330="P328",4,IF(I330="P329",3,2)))*2+IF(Z330="Sí",5,3))*2,0))</f>
        <v/>
      </c>
    </row>
    <row r="331" spans="2:25">
      <c r="B331" s="13"/>
      <c r="C331" s="14"/>
      <c r="D331" s="14"/>
      <c r="U331" s="13"/>
      <c r="V331" s="12"/>
      <c r="W331" t="str">
        <f t="shared" si="5"/>
        <v/>
      </c>
      <c r="Y331" t="str">
        <f>IF(A331="","",ROUND((J331*4+K331*3+IF(I331="P328",5,IF(I331="P329",4,IF(I331="P330",3,2)))*2+IF(Z331="Sí",5,3))*2,0))</f>
        <v/>
      </c>
    </row>
    <row r="332" spans="2:25">
      <c r="B332" s="13"/>
      <c r="C332" s="14"/>
      <c r="D332" s="14"/>
      <c r="U332" s="13"/>
      <c r="V332" s="12"/>
      <c r="W332" t="str">
        <f t="shared" si="5"/>
        <v/>
      </c>
      <c r="Y332" t="str">
        <f>IF(A332="","",ROUND((J332*4+K332*3+IF(I332="P329",5,IF(I332="P330",4,IF(I332="P331",3,2)))*2+IF(Z332="Sí",5,3))*2,0))</f>
        <v/>
      </c>
    </row>
    <row r="333" spans="2:25">
      <c r="B333" s="13"/>
      <c r="C333" s="14"/>
      <c r="D333" s="14"/>
      <c r="U333" s="13"/>
      <c r="V333" s="12"/>
      <c r="W333" t="str">
        <f t="shared" si="5"/>
        <v/>
      </c>
      <c r="Y333" t="str">
        <f>IF(A333="","",ROUND((J333*4+K333*3+IF(I333="P330",5,IF(I333="P331",4,IF(I333="P332",3,2)))*2+IF(Z333="Sí",5,3))*2,0))</f>
        <v/>
      </c>
    </row>
    <row r="334" spans="2:25">
      <c r="B334" s="13"/>
      <c r="C334" s="14"/>
      <c r="D334" s="14"/>
      <c r="U334" s="13"/>
      <c r="V334" s="12"/>
      <c r="W334" t="str">
        <f t="shared" si="5"/>
        <v/>
      </c>
      <c r="Y334" t="str">
        <f>IF(A334="","",ROUND((J334*4+K334*3+IF(I334="P331",5,IF(I334="P332",4,IF(I334="P333",3,2)))*2+IF(Z334="Sí",5,3))*2,0))</f>
        <v/>
      </c>
    </row>
    <row r="335" spans="2:25">
      <c r="B335" s="13"/>
      <c r="C335" s="14"/>
      <c r="D335" s="14"/>
      <c r="U335" s="13"/>
      <c r="V335" s="12"/>
      <c r="W335" t="str">
        <f t="shared" si="5"/>
        <v/>
      </c>
      <c r="Y335" t="str">
        <f>IF(A335="","",ROUND((J335*4+K335*3+IF(I335="P332",5,IF(I335="P333",4,IF(I335="P334",3,2)))*2+IF(Z335="Sí",5,3))*2,0))</f>
        <v/>
      </c>
    </row>
    <row r="336" spans="2:25">
      <c r="B336" s="13"/>
      <c r="C336" s="14"/>
      <c r="D336" s="14"/>
      <c r="U336" s="13"/>
      <c r="V336" s="12"/>
      <c r="W336" t="str">
        <f t="shared" si="5"/>
        <v/>
      </c>
      <c r="Y336" t="str">
        <f>IF(A336="","",ROUND((J336*4+K336*3+IF(I336="P333",5,IF(I336="P334",4,IF(I336="P335",3,2)))*2+IF(Z336="Sí",5,3))*2,0))</f>
        <v/>
      </c>
    </row>
    <row r="337" spans="2:25">
      <c r="B337" s="13"/>
      <c r="C337" s="14"/>
      <c r="D337" s="14"/>
      <c r="U337" s="13"/>
      <c r="V337" s="12"/>
      <c r="W337" t="str">
        <f t="shared" si="5"/>
        <v/>
      </c>
      <c r="Y337" t="str">
        <f>IF(A337="","",ROUND((J337*4+K337*3+IF(I337="P334",5,IF(I337="P335",4,IF(I337="P336",3,2)))*2+IF(Z337="Sí",5,3))*2,0))</f>
        <v/>
      </c>
    </row>
    <row r="338" spans="2:25">
      <c r="B338" s="13"/>
      <c r="C338" s="14"/>
      <c r="D338" s="14"/>
      <c r="U338" s="13"/>
      <c r="V338" s="12"/>
      <c r="W338" t="str">
        <f t="shared" si="5"/>
        <v/>
      </c>
      <c r="Y338" t="str">
        <f>IF(A338="","",ROUND((J338*4+K338*3+IF(I338="P335",5,IF(I338="P336",4,IF(I338="P337",3,2)))*2+IF(Z338="Sí",5,3))*2,0))</f>
        <v/>
      </c>
    </row>
    <row r="339" spans="2:25">
      <c r="B339" s="13"/>
      <c r="C339" s="14"/>
      <c r="D339" s="14"/>
      <c r="U339" s="13"/>
      <c r="V339" s="12"/>
      <c r="W339" t="str">
        <f t="shared" si="5"/>
        <v/>
      </c>
      <c r="Y339" t="str">
        <f>IF(A339="","",ROUND((J339*4+K339*3+IF(I339="P336",5,IF(I339="P337",4,IF(I339="P338",3,2)))*2+IF(Z339="Sí",5,3))*2,0))</f>
        <v/>
      </c>
    </row>
    <row r="340" spans="2:25">
      <c r="B340" s="13"/>
      <c r="C340" s="14"/>
      <c r="D340" s="14"/>
      <c r="U340" s="13"/>
      <c r="V340" s="12"/>
      <c r="W340" t="str">
        <f t="shared" si="5"/>
        <v/>
      </c>
      <c r="Y340" t="str">
        <f>IF(A340="","",ROUND((J340*4+K340*3+IF(I340="P337",5,IF(I340="P338",4,IF(I340="P339",3,2)))*2+IF(Z340="Sí",5,3))*2,0))</f>
        <v/>
      </c>
    </row>
    <row r="341" spans="2:25">
      <c r="B341" s="13"/>
      <c r="C341" s="14"/>
      <c r="D341" s="14"/>
      <c r="U341" s="13"/>
      <c r="V341" s="12"/>
      <c r="W341" t="str">
        <f t="shared" si="5"/>
        <v/>
      </c>
      <c r="Y341" t="str">
        <f>IF(A341="","",ROUND((J341*4+K341*3+IF(I341="P338",5,IF(I341="P339",4,IF(I341="P340",3,2)))*2+IF(Z341="Sí",5,3))*2,0))</f>
        <v/>
      </c>
    </row>
    <row r="342" spans="2:25">
      <c r="B342" s="13"/>
      <c r="C342" s="14"/>
      <c r="D342" s="14"/>
      <c r="U342" s="13"/>
      <c r="V342" s="12"/>
      <c r="W342" t="str">
        <f t="shared" si="5"/>
        <v/>
      </c>
      <c r="Y342" t="str">
        <f>IF(A342="","",ROUND((J342*4+K342*3+IF(I342="P339",5,IF(I342="P340",4,IF(I342="P341",3,2)))*2+IF(Z342="Sí",5,3))*2,0))</f>
        <v/>
      </c>
    </row>
    <row r="343" spans="2:25">
      <c r="B343" s="13"/>
      <c r="C343" s="14"/>
      <c r="D343" s="14"/>
      <c r="U343" s="13"/>
      <c r="V343" s="12"/>
      <c r="W343" t="str">
        <f t="shared" si="5"/>
        <v/>
      </c>
      <c r="Y343" t="str">
        <f>IF(A343="","",ROUND((J343*4+K343*3+IF(I343="P340",5,IF(I343="P341",4,IF(I343="P342",3,2)))*2+IF(Z343="Sí",5,3))*2,0))</f>
        <v/>
      </c>
    </row>
    <row r="344" spans="2:25">
      <c r="B344" s="13"/>
      <c r="C344" s="14"/>
      <c r="D344" s="14"/>
      <c r="U344" s="13"/>
      <c r="V344" s="12"/>
      <c r="W344" t="str">
        <f t="shared" si="5"/>
        <v/>
      </c>
      <c r="Y344" t="str">
        <f>IF(A344="","",ROUND((J344*4+K344*3+IF(I344="P341",5,IF(I344="P342",4,IF(I344="P343",3,2)))*2+IF(Z344="Sí",5,3))*2,0))</f>
        <v/>
      </c>
    </row>
    <row r="345" spans="2:25">
      <c r="B345" s="13"/>
      <c r="C345" s="14"/>
      <c r="D345" s="14"/>
      <c r="U345" s="13"/>
      <c r="V345" s="12"/>
      <c r="W345" t="str">
        <f t="shared" si="5"/>
        <v/>
      </c>
      <c r="Y345" t="str">
        <f>IF(A345="","",ROUND((J345*4+K345*3+IF(I345="P342",5,IF(I345="P343",4,IF(I345="P344",3,2)))*2+IF(Z345="Sí",5,3))*2,0))</f>
        <v/>
      </c>
    </row>
    <row r="346" spans="2:25">
      <c r="B346" s="13"/>
      <c r="C346" s="14"/>
      <c r="D346" s="14"/>
      <c r="U346" s="13"/>
      <c r="V346" s="12"/>
      <c r="W346" t="str">
        <f t="shared" si="5"/>
        <v/>
      </c>
      <c r="Y346" t="str">
        <f>IF(A346="","",ROUND((J346*4+K346*3+IF(I346="P343",5,IF(I346="P344",4,IF(I346="P345",3,2)))*2+IF(Z346="Sí",5,3))*2,0))</f>
        <v/>
      </c>
    </row>
    <row r="347" spans="2:25">
      <c r="B347" s="13"/>
      <c r="C347" s="14"/>
      <c r="D347" s="14"/>
      <c r="U347" s="13"/>
      <c r="V347" s="12"/>
      <c r="W347" t="str">
        <f t="shared" si="5"/>
        <v/>
      </c>
      <c r="Y347" t="str">
        <f>IF(A347="","",ROUND((J347*4+K347*3+IF(I347="P344",5,IF(I347="P345",4,IF(I347="P346",3,2)))*2+IF(Z347="Sí",5,3))*2,0))</f>
        <v/>
      </c>
    </row>
    <row r="348" spans="2:25">
      <c r="B348" s="13"/>
      <c r="C348" s="14"/>
      <c r="D348" s="14"/>
      <c r="U348" s="13"/>
      <c r="V348" s="12"/>
      <c r="W348" t="str">
        <f t="shared" si="5"/>
        <v/>
      </c>
      <c r="Y348" t="str">
        <f>IF(A348="","",ROUND((J348*4+K348*3+IF(I348="P345",5,IF(I348="P346",4,IF(I348="P347",3,2)))*2+IF(Z348="Sí",5,3))*2,0))</f>
        <v/>
      </c>
    </row>
    <row r="349" spans="2:25">
      <c r="B349" s="13"/>
      <c r="C349" s="14"/>
      <c r="D349" s="14"/>
      <c r="U349" s="13"/>
      <c r="V349" s="12"/>
      <c r="W349" t="str">
        <f t="shared" si="5"/>
        <v/>
      </c>
      <c r="Y349" t="str">
        <f>IF(A349="","",ROUND((J349*4+K349*3+IF(I349="P346",5,IF(I349="P347",4,IF(I349="P348",3,2)))*2+IF(Z349="Sí",5,3))*2,0))</f>
        <v/>
      </c>
    </row>
    <row r="350" spans="2:25">
      <c r="B350" s="13"/>
      <c r="C350" s="14"/>
      <c r="D350" s="14"/>
      <c r="U350" s="13"/>
      <c r="V350" s="12"/>
      <c r="W350" t="str">
        <f t="shared" si="5"/>
        <v/>
      </c>
      <c r="Y350" t="str">
        <f>IF(A350="","",ROUND((J350*4+K350*3+IF(I350="P347",5,IF(I350="P348",4,IF(I350="P349",3,2)))*2+IF(Z350="Sí",5,3))*2,0))</f>
        <v/>
      </c>
    </row>
    <row r="351" spans="2:25">
      <c r="B351" s="13"/>
      <c r="C351" s="14"/>
      <c r="D351" s="14"/>
      <c r="U351" s="13"/>
      <c r="V351" s="12"/>
      <c r="W351" t="str">
        <f t="shared" si="5"/>
        <v/>
      </c>
      <c r="Y351" t="str">
        <f>IF(A351="","",ROUND((J351*4+K351*3+IF(I351="P348",5,IF(I351="P349",4,IF(I351="P350",3,2)))*2+IF(Z351="Sí",5,3))*2,0))</f>
        <v/>
      </c>
    </row>
    <row r="352" spans="2:25">
      <c r="B352" s="13"/>
      <c r="C352" s="14"/>
      <c r="D352" s="14"/>
      <c r="U352" s="13"/>
      <c r="V352" s="12"/>
      <c r="W352" t="str">
        <f t="shared" si="5"/>
        <v/>
      </c>
      <c r="Y352" t="str">
        <f>IF(A352="","",ROUND((J352*4+K352*3+IF(I352="P349",5,IF(I352="P350",4,IF(I352="P351",3,2)))*2+IF(Z352="Sí",5,3))*2,0))</f>
        <v/>
      </c>
    </row>
    <row r="353" spans="2:25">
      <c r="B353" s="13"/>
      <c r="C353" s="14"/>
      <c r="D353" s="14"/>
      <c r="U353" s="13"/>
      <c r="V353" s="12"/>
      <c r="W353" t="str">
        <f t="shared" si="5"/>
        <v/>
      </c>
      <c r="Y353" t="str">
        <f>IF(A353="","",ROUND((J353*4+K353*3+IF(I353="P350",5,IF(I353="P351",4,IF(I353="P352",3,2)))*2+IF(Z353="Sí",5,3))*2,0))</f>
        <v/>
      </c>
    </row>
    <row r="354" spans="2:25">
      <c r="B354" s="13"/>
      <c r="C354" s="14"/>
      <c r="D354" s="14"/>
      <c r="U354" s="13"/>
      <c r="V354" s="12"/>
      <c r="W354" t="str">
        <f t="shared" si="5"/>
        <v/>
      </c>
      <c r="Y354" t="str">
        <f>IF(A354="","",ROUND((J354*4+K354*3+IF(I354="P351",5,IF(I354="P352",4,IF(I354="P353",3,2)))*2+IF(Z354="Sí",5,3))*2,0))</f>
        <v/>
      </c>
    </row>
    <row r="355" spans="2:25">
      <c r="B355" s="13"/>
      <c r="C355" s="14"/>
      <c r="D355" s="14"/>
      <c r="U355" s="13"/>
      <c r="V355" s="12"/>
      <c r="W355" t="str">
        <f t="shared" si="5"/>
        <v/>
      </c>
      <c r="Y355" t="str">
        <f>IF(A355="","",ROUND((J355*4+K355*3+IF(I355="P352",5,IF(I355="P353",4,IF(I355="P354",3,2)))*2+IF(Z355="Sí",5,3))*2,0))</f>
        <v/>
      </c>
    </row>
    <row r="356" spans="2:25">
      <c r="B356" s="13"/>
      <c r="C356" s="14"/>
      <c r="D356" s="14"/>
      <c r="U356" s="13"/>
      <c r="V356" s="12"/>
      <c r="W356" t="str">
        <f t="shared" si="5"/>
        <v/>
      </c>
      <c r="Y356" t="str">
        <f>IF(A356="","",ROUND((J356*4+K356*3+IF(I356="P353",5,IF(I356="P354",4,IF(I356="P355",3,2)))*2+IF(Z356="Sí",5,3))*2,0))</f>
        <v/>
      </c>
    </row>
    <row r="357" spans="2:25">
      <c r="B357" s="13"/>
      <c r="C357" s="14"/>
      <c r="D357" s="14"/>
      <c r="U357" s="13"/>
      <c r="V357" s="12"/>
      <c r="W357" t="str">
        <f t="shared" si="5"/>
        <v/>
      </c>
      <c r="Y357" t="str">
        <f>IF(A357="","",ROUND((J357*4+K357*3+IF(I357="P354",5,IF(I357="P355",4,IF(I357="P356",3,2)))*2+IF(Z357="Sí",5,3))*2,0))</f>
        <v/>
      </c>
    </row>
    <row r="358" spans="2:25">
      <c r="B358" s="13"/>
      <c r="C358" s="14"/>
      <c r="D358" s="14"/>
      <c r="U358" s="13"/>
      <c r="V358" s="12"/>
      <c r="W358" t="str">
        <f t="shared" si="5"/>
        <v/>
      </c>
      <c r="Y358" t="str">
        <f>IF(A358="","",ROUND((J358*4+K358*3+IF(I358="P355",5,IF(I358="P356",4,IF(I358="P357",3,2)))*2+IF(Z358="Sí",5,3))*2,0))</f>
        <v/>
      </c>
    </row>
    <row r="359" spans="2:25">
      <c r="B359" s="13"/>
      <c r="C359" s="14"/>
      <c r="D359" s="14"/>
      <c r="U359" s="13"/>
      <c r="V359" s="12"/>
      <c r="W359" t="str">
        <f t="shared" si="5"/>
        <v/>
      </c>
      <c r="Y359" t="str">
        <f>IF(A359="","",ROUND((J359*4+K359*3+IF(I359="P356",5,IF(I359="P357",4,IF(I359="P358",3,2)))*2+IF(Z359="Sí",5,3))*2,0))</f>
        <v/>
      </c>
    </row>
    <row r="360" spans="2:25">
      <c r="B360" s="13"/>
      <c r="C360" s="14"/>
      <c r="D360" s="14"/>
      <c r="U360" s="13"/>
      <c r="V360" s="12"/>
      <c r="W360" t="str">
        <f t="shared" si="5"/>
        <v/>
      </c>
      <c r="Y360" t="str">
        <f>IF(A360="","",ROUND((J360*4+K360*3+IF(I360="P357",5,IF(I360="P358",4,IF(I360="P359",3,2)))*2+IF(Z360="Sí",5,3))*2,0))</f>
        <v/>
      </c>
    </row>
    <row r="361" spans="2:25">
      <c r="B361" s="13"/>
      <c r="C361" s="14"/>
      <c r="D361" s="14"/>
      <c r="U361" s="13"/>
      <c r="V361" s="12"/>
      <c r="W361" t="str">
        <f t="shared" si="5"/>
        <v/>
      </c>
      <c r="Y361" t="str">
        <f>IF(A361="","",ROUND((J361*4+K361*3+IF(I361="P358",5,IF(I361="P359",4,IF(I361="P360",3,2)))*2+IF(Z361="Sí",5,3))*2,0))</f>
        <v/>
      </c>
    </row>
    <row r="362" spans="2:25">
      <c r="B362" s="13"/>
      <c r="C362" s="14"/>
      <c r="D362" s="14"/>
      <c r="U362" s="13"/>
      <c r="V362" s="12"/>
      <c r="W362" t="str">
        <f t="shared" si="5"/>
        <v/>
      </c>
      <c r="Y362" t="str">
        <f>IF(A362="","",ROUND((J362*4+K362*3+IF(I362="P359",5,IF(I362="P360",4,IF(I362="P361",3,2)))*2+IF(Z362="Sí",5,3))*2,0))</f>
        <v/>
      </c>
    </row>
    <row r="363" spans="2:25">
      <c r="B363" s="13"/>
      <c r="C363" s="14"/>
      <c r="D363" s="14"/>
      <c r="U363" s="13"/>
      <c r="V363" s="12"/>
      <c r="W363" t="str">
        <f t="shared" si="5"/>
        <v/>
      </c>
      <c r="Y363" t="str">
        <f>IF(A363="","",ROUND((J363*4+K363*3+IF(I363="P360",5,IF(I363="P361",4,IF(I363="P362",3,2)))*2+IF(Z363="Sí",5,3))*2,0))</f>
        <v/>
      </c>
    </row>
    <row r="364" spans="2:25">
      <c r="B364" s="13"/>
      <c r="C364" s="14"/>
      <c r="D364" s="14"/>
      <c r="U364" s="13"/>
      <c r="V364" s="12"/>
      <c r="W364" t="str">
        <f t="shared" si="5"/>
        <v/>
      </c>
      <c r="Y364" t="str">
        <f>IF(A364="","",ROUND((J364*4+K364*3+IF(I364="P361",5,IF(I364="P362",4,IF(I364="P363",3,2)))*2+IF(Z364="Sí",5,3))*2,0))</f>
        <v/>
      </c>
    </row>
    <row r="365" spans="2:25">
      <c r="B365" s="13"/>
      <c r="C365" s="14"/>
      <c r="D365" s="14"/>
      <c r="U365" s="13"/>
      <c r="V365" s="12"/>
      <c r="W365" t="str">
        <f t="shared" si="5"/>
        <v/>
      </c>
      <c r="Y365" t="str">
        <f>IF(A365="","",ROUND((J365*4+K365*3+IF(I365="P362",5,IF(I365="P363",4,IF(I365="P364",3,2)))*2+IF(Z365="Sí",5,3))*2,0))</f>
        <v/>
      </c>
    </row>
    <row r="366" spans="2:25">
      <c r="B366" s="13"/>
      <c r="C366" s="14"/>
      <c r="D366" s="14"/>
      <c r="U366" s="13"/>
      <c r="V366" s="12"/>
      <c r="W366" t="str">
        <f t="shared" si="5"/>
        <v/>
      </c>
      <c r="Y366" t="str">
        <f>IF(A366="","",ROUND((J366*4+K366*3+IF(I366="P363",5,IF(I366="P364",4,IF(I366="P365",3,2)))*2+IF(Z366="Sí",5,3))*2,0))</f>
        <v/>
      </c>
    </row>
    <row r="367" spans="2:25">
      <c r="B367" s="13"/>
      <c r="C367" s="14"/>
      <c r="D367" s="14"/>
      <c r="U367" s="13"/>
      <c r="V367" s="12"/>
      <c r="W367" t="str">
        <f t="shared" si="5"/>
        <v/>
      </c>
      <c r="Y367" t="str">
        <f>IF(A367="","",ROUND((J367*4+K367*3+IF(I367="P364",5,IF(I367="P365",4,IF(I367="P366",3,2)))*2+IF(Z367="Sí",5,3))*2,0))</f>
        <v/>
      </c>
    </row>
    <row r="368" spans="2:25">
      <c r="B368" s="13"/>
      <c r="C368" s="14"/>
      <c r="D368" s="14"/>
      <c r="U368" s="13"/>
      <c r="V368" s="12"/>
      <c r="W368" t="str">
        <f t="shared" si="5"/>
        <v/>
      </c>
      <c r="Y368" t="str">
        <f>IF(A368="","",ROUND((J368*4+K368*3+IF(I368="P365",5,IF(I368="P366",4,IF(I368="P367",3,2)))*2+IF(Z368="Sí",5,3))*2,0))</f>
        <v/>
      </c>
    </row>
    <row r="369" spans="2:25">
      <c r="B369" s="13"/>
      <c r="C369" s="14"/>
      <c r="D369" s="14"/>
      <c r="U369" s="13"/>
      <c r="V369" s="12"/>
      <c r="W369" t="str">
        <f t="shared" si="5"/>
        <v/>
      </c>
      <c r="Y369" t="str">
        <f>IF(A369="","",ROUND((J369*4+K369*3+IF(I369="P366",5,IF(I369="P367",4,IF(I369="P368",3,2)))*2+IF(Z369="Sí",5,3))*2,0))</f>
        <v/>
      </c>
    </row>
    <row r="370" spans="2:25">
      <c r="B370" s="13"/>
      <c r="C370" s="14"/>
      <c r="D370" s="14"/>
      <c r="U370" s="13"/>
      <c r="V370" s="12"/>
      <c r="W370" t="str">
        <f t="shared" si="5"/>
        <v/>
      </c>
      <c r="Y370" t="str">
        <f>IF(A370="","",ROUND((J370*4+K370*3+IF(I370="P367",5,IF(I370="P368",4,IF(I370="P369",3,2)))*2+IF(Z370="Sí",5,3))*2,0))</f>
        <v/>
      </c>
    </row>
    <row r="371" spans="2:25">
      <c r="B371" s="13"/>
      <c r="C371" s="14"/>
      <c r="D371" s="14"/>
      <c r="U371" s="13"/>
      <c r="V371" s="12"/>
      <c r="W371" t="str">
        <f t="shared" si="5"/>
        <v/>
      </c>
      <c r="Y371" t="str">
        <f>IF(A371="","",ROUND((J371*4+K371*3+IF(I371="P368",5,IF(I371="P369",4,IF(I371="P370",3,2)))*2+IF(Z371="Sí",5,3))*2,0))</f>
        <v/>
      </c>
    </row>
    <row r="372" spans="2:25">
      <c r="B372" s="13"/>
      <c r="C372" s="14"/>
      <c r="D372" s="14"/>
      <c r="U372" s="13"/>
      <c r="V372" s="12"/>
      <c r="W372" t="str">
        <f t="shared" si="5"/>
        <v/>
      </c>
      <c r="Y372" t="str">
        <f>IF(A372="","",ROUND((J372*4+K372*3+IF(I372="P369",5,IF(I372="P370",4,IF(I372="P371",3,2)))*2+IF(Z372="Sí",5,3))*2,0))</f>
        <v/>
      </c>
    </row>
    <row r="373" spans="2:25">
      <c r="B373" s="13"/>
      <c r="C373" s="14"/>
      <c r="D373" s="14"/>
      <c r="U373" s="13"/>
      <c r="V373" s="12"/>
      <c r="W373" t="str">
        <f t="shared" si="5"/>
        <v/>
      </c>
      <c r="Y373" t="str">
        <f>IF(A373="","",ROUND((J373*4+K373*3+IF(I373="P370",5,IF(I373="P371",4,IF(I373="P372",3,2)))*2+IF(Z373="Sí",5,3))*2,0))</f>
        <v/>
      </c>
    </row>
    <row r="374" spans="2:25">
      <c r="B374" s="13"/>
      <c r="C374" s="14"/>
      <c r="D374" s="14"/>
      <c r="U374" s="13"/>
      <c r="V374" s="12"/>
      <c r="W374" t="str">
        <f t="shared" si="5"/>
        <v/>
      </c>
      <c r="Y374" t="str">
        <f>IF(A374="","",ROUND((J374*4+K374*3+IF(I374="P371",5,IF(I374="P372",4,IF(I374="P373",3,2)))*2+IF(Z374="Sí",5,3))*2,0))</f>
        <v/>
      </c>
    </row>
    <row r="375" spans="2:25">
      <c r="B375" s="13"/>
      <c r="C375" s="14"/>
      <c r="D375" s="14"/>
      <c r="U375" s="13"/>
      <c r="V375" s="12"/>
      <c r="W375" t="str">
        <f t="shared" si="5"/>
        <v/>
      </c>
      <c r="Y375" t="str">
        <f>IF(A375="","",ROUND((J375*4+K375*3+IF(I375="P372",5,IF(I375="P373",4,IF(I375="P374",3,2)))*2+IF(Z375="Sí",5,3))*2,0))</f>
        <v/>
      </c>
    </row>
    <row r="376" spans="2:25">
      <c r="B376" s="13"/>
      <c r="C376" s="14"/>
      <c r="D376" s="14"/>
      <c r="U376" s="13"/>
      <c r="V376" s="12"/>
      <c r="W376" t="str">
        <f t="shared" si="5"/>
        <v/>
      </c>
      <c r="Y376" t="str">
        <f>IF(A376="","",ROUND((J376*4+K376*3+IF(I376="P373",5,IF(I376="P374",4,IF(I376="P375",3,2)))*2+IF(Z376="Sí",5,3))*2,0))</f>
        <v/>
      </c>
    </row>
    <row r="377" spans="2:25">
      <c r="B377" s="13"/>
      <c r="C377" s="14"/>
      <c r="D377" s="14"/>
      <c r="U377" s="13"/>
      <c r="V377" s="12"/>
      <c r="W377" t="str">
        <f t="shared" si="5"/>
        <v/>
      </c>
      <c r="Y377" t="str">
        <f>IF(A377="","",ROUND((J377*4+K377*3+IF(I377="P374",5,IF(I377="P375",4,IF(I377="P376",3,2)))*2+IF(Z377="Sí",5,3))*2,0))</f>
        <v/>
      </c>
    </row>
    <row r="378" spans="2:25">
      <c r="B378" s="13"/>
      <c r="C378" s="14"/>
      <c r="D378" s="14"/>
      <c r="U378" s="13"/>
      <c r="V378" s="12"/>
      <c r="W378" t="str">
        <f t="shared" si="5"/>
        <v/>
      </c>
      <c r="Y378" t="str">
        <f>IF(A378="","",ROUND((J378*4+K378*3+IF(I378="P375",5,IF(I378="P376",4,IF(I378="P377",3,2)))*2+IF(Z378="Sí",5,3))*2,0))</f>
        <v/>
      </c>
    </row>
    <row r="379" spans="2:25">
      <c r="B379" s="13"/>
      <c r="C379" s="14"/>
      <c r="D379" s="14"/>
      <c r="U379" s="13"/>
      <c r="V379" s="12"/>
      <c r="W379" t="str">
        <f t="shared" si="5"/>
        <v/>
      </c>
      <c r="Y379" t="str">
        <f>IF(A379="","",ROUND((J379*4+K379*3+IF(I379="P376",5,IF(I379="P377",4,IF(I379="P378",3,2)))*2+IF(Z379="Sí",5,3))*2,0))</f>
        <v/>
      </c>
    </row>
    <row r="380" spans="2:25">
      <c r="B380" s="13"/>
      <c r="C380" s="14"/>
      <c r="D380" s="14"/>
      <c r="U380" s="13"/>
      <c r="V380" s="12"/>
      <c r="W380" t="str">
        <f t="shared" si="5"/>
        <v/>
      </c>
      <c r="Y380" t="str">
        <f>IF(A380="","",ROUND((J380*4+K380*3+IF(I380="P377",5,IF(I380="P378",4,IF(I380="P379",3,2)))*2+IF(Z380="Sí",5,3))*2,0))</f>
        <v/>
      </c>
    </row>
    <row r="381" spans="2:25">
      <c r="B381" s="13"/>
      <c r="C381" s="14"/>
      <c r="D381" s="14"/>
      <c r="U381" s="13"/>
      <c r="V381" s="12"/>
      <c r="W381" t="str">
        <f t="shared" si="5"/>
        <v/>
      </c>
      <c r="Y381" t="str">
        <f>IF(A381="","",ROUND((J381*4+K381*3+IF(I381="P378",5,IF(I381="P379",4,IF(I381="P380",3,2)))*2+IF(Z381="Sí",5,3))*2,0))</f>
        <v/>
      </c>
    </row>
    <row r="382" spans="2:25">
      <c r="B382" s="13"/>
      <c r="C382" s="14"/>
      <c r="D382" s="14"/>
      <c r="U382" s="13"/>
      <c r="V382" s="12"/>
      <c r="W382" t="str">
        <f t="shared" si="5"/>
        <v/>
      </c>
      <c r="Y382" t="str">
        <f>IF(A382="","",ROUND((J382*4+K382*3+IF(I382="P379",5,IF(I382="P380",4,IF(I382="P381",3,2)))*2+IF(Z382="Sí",5,3))*2,0))</f>
        <v/>
      </c>
    </row>
    <row r="383" spans="2:25">
      <c r="B383" s="13"/>
      <c r="C383" s="14"/>
      <c r="D383" s="14"/>
      <c r="U383" s="13"/>
      <c r="V383" s="12"/>
      <c r="W383" t="str">
        <f t="shared" si="5"/>
        <v/>
      </c>
      <c r="Y383" t="str">
        <f>IF(A383="","",ROUND((J383*4+K383*3+IF(I383="P380",5,IF(I383="P381",4,IF(I383="P382",3,2)))*2+IF(Z383="Sí",5,3))*2,0))</f>
        <v/>
      </c>
    </row>
    <row r="384" spans="2:25">
      <c r="B384" s="13"/>
      <c r="C384" s="14"/>
      <c r="D384" s="14"/>
      <c r="U384" s="13"/>
      <c r="V384" s="12"/>
      <c r="W384" t="str">
        <f t="shared" si="5"/>
        <v/>
      </c>
      <c r="Y384" t="str">
        <f>IF(A384="","",ROUND((J384*4+K384*3+IF(I384="P381",5,IF(I384="P382",4,IF(I384="P383",3,2)))*2+IF(Z384="Sí",5,3))*2,0))</f>
        <v/>
      </c>
    </row>
    <row r="385" spans="2:25">
      <c r="B385" s="13"/>
      <c r="C385" s="14"/>
      <c r="D385" s="14"/>
      <c r="U385" s="13"/>
      <c r="V385" s="12"/>
      <c r="W385" t="str">
        <f t="shared" si="5"/>
        <v/>
      </c>
      <c r="Y385" t="str">
        <f>IF(A385="","",ROUND((J385*4+K385*3+IF(I385="P382",5,IF(I385="P383",4,IF(I385="P384",3,2)))*2+IF(Z385="Sí",5,3))*2,0))</f>
        <v/>
      </c>
    </row>
    <row r="386" spans="2:25">
      <c r="B386" s="13"/>
      <c r="C386" s="14"/>
      <c r="D386" s="14"/>
      <c r="U386" s="13"/>
      <c r="V386" s="12"/>
      <c r="W386" t="str">
        <f t="shared" si="5"/>
        <v/>
      </c>
      <c r="Y386" t="str">
        <f>IF(A386="","",ROUND((J386*4+K386*3+IF(I386="P383",5,IF(I386="P384",4,IF(I386="P385",3,2)))*2+IF(Z386="Sí",5,3))*2,0))</f>
        <v/>
      </c>
    </row>
    <row r="387" spans="2:25">
      <c r="B387" s="13"/>
      <c r="C387" s="14"/>
      <c r="D387" s="14"/>
      <c r="U387" s="13"/>
      <c r="V387" s="12"/>
      <c r="W387" t="str">
        <f t="shared" si="5"/>
        <v/>
      </c>
      <c r="Y387" t="str">
        <f>IF(A387="","",ROUND((J387*4+K387*3+IF(I387="P384",5,IF(I387="P385",4,IF(I387="P386",3,2)))*2+IF(Z387="Sí",5,3))*2,0))</f>
        <v/>
      </c>
    </row>
    <row r="388" spans="2:25">
      <c r="B388" s="13"/>
      <c r="C388" s="14"/>
      <c r="D388" s="14"/>
      <c r="U388" s="13"/>
      <c r="V388" s="12"/>
      <c r="W388" t="str">
        <f t="shared" ref="W388:W451" si="6">IF(OR(C388="",D388=""),"",ROUND((D388-C388)*1440,0))</f>
        <v/>
      </c>
      <c r="Y388" t="str">
        <f>IF(A388="","",ROUND((J388*4+K388*3+IF(I388="P385",5,IF(I388="P386",4,IF(I388="P387",3,2)))*2+IF(Z388="Sí",5,3))*2,0))</f>
        <v/>
      </c>
    </row>
    <row r="389" spans="2:25">
      <c r="B389" s="13"/>
      <c r="C389" s="14"/>
      <c r="D389" s="14"/>
      <c r="U389" s="13"/>
      <c r="V389" s="12"/>
      <c r="W389" t="str">
        <f t="shared" si="6"/>
        <v/>
      </c>
      <c r="Y389" t="str">
        <f>IF(A389="","",ROUND((J389*4+K389*3+IF(I389="P386",5,IF(I389="P387",4,IF(I389="P388",3,2)))*2+IF(Z389="Sí",5,3))*2,0))</f>
        <v/>
      </c>
    </row>
    <row r="390" spans="2:25">
      <c r="B390" s="13"/>
      <c r="C390" s="14"/>
      <c r="D390" s="14"/>
      <c r="U390" s="13"/>
      <c r="V390" s="12"/>
      <c r="W390" t="str">
        <f t="shared" si="6"/>
        <v/>
      </c>
      <c r="Y390" t="str">
        <f>IF(A390="","",ROUND((J390*4+K390*3+IF(I390="P387",5,IF(I390="P388",4,IF(I390="P389",3,2)))*2+IF(Z390="Sí",5,3))*2,0))</f>
        <v/>
      </c>
    </row>
    <row r="391" spans="2:25">
      <c r="B391" s="13"/>
      <c r="C391" s="14"/>
      <c r="D391" s="14"/>
      <c r="U391" s="13"/>
      <c r="V391" s="12"/>
      <c r="W391" t="str">
        <f t="shared" si="6"/>
        <v/>
      </c>
      <c r="Y391" t="str">
        <f>IF(A391="","",ROUND((J391*4+K391*3+IF(I391="P388",5,IF(I391="P389",4,IF(I391="P390",3,2)))*2+IF(Z391="Sí",5,3))*2,0))</f>
        <v/>
      </c>
    </row>
    <row r="392" spans="2:25">
      <c r="B392" s="13"/>
      <c r="C392" s="14"/>
      <c r="D392" s="14"/>
      <c r="U392" s="13"/>
      <c r="V392" s="12"/>
      <c r="W392" t="str">
        <f t="shared" si="6"/>
        <v/>
      </c>
      <c r="Y392" t="str">
        <f>IF(A392="","",ROUND((J392*4+K392*3+IF(I392="P389",5,IF(I392="P390",4,IF(I392="P391",3,2)))*2+IF(Z392="Sí",5,3))*2,0))</f>
        <v/>
      </c>
    </row>
    <row r="393" spans="2:25">
      <c r="B393" s="13"/>
      <c r="C393" s="14"/>
      <c r="D393" s="14"/>
      <c r="U393" s="13"/>
      <c r="V393" s="12"/>
      <c r="W393" t="str">
        <f t="shared" si="6"/>
        <v/>
      </c>
      <c r="Y393" t="str">
        <f>IF(A393="","",ROUND((J393*4+K393*3+IF(I393="P390",5,IF(I393="P391",4,IF(I393="P392",3,2)))*2+IF(Z393="Sí",5,3))*2,0))</f>
        <v/>
      </c>
    </row>
    <row r="394" spans="2:25">
      <c r="B394" s="13"/>
      <c r="C394" s="14"/>
      <c r="D394" s="14"/>
      <c r="U394" s="13"/>
      <c r="V394" s="12"/>
      <c r="W394" t="str">
        <f t="shared" si="6"/>
        <v/>
      </c>
      <c r="Y394" t="str">
        <f>IF(A394="","",ROUND((J394*4+K394*3+IF(I394="P391",5,IF(I394="P392",4,IF(I394="P393",3,2)))*2+IF(Z394="Sí",5,3))*2,0))</f>
        <v/>
      </c>
    </row>
    <row r="395" spans="2:25">
      <c r="B395" s="13"/>
      <c r="C395" s="14"/>
      <c r="D395" s="14"/>
      <c r="U395" s="13"/>
      <c r="V395" s="12"/>
      <c r="W395" t="str">
        <f t="shared" si="6"/>
        <v/>
      </c>
      <c r="Y395" t="str">
        <f>IF(A395="","",ROUND((J395*4+K395*3+IF(I395="P392",5,IF(I395="P393",4,IF(I395="P394",3,2)))*2+IF(Z395="Sí",5,3))*2,0))</f>
        <v/>
      </c>
    </row>
    <row r="396" spans="2:25">
      <c r="B396" s="13"/>
      <c r="C396" s="14"/>
      <c r="D396" s="14"/>
      <c r="U396" s="13"/>
      <c r="V396" s="12"/>
      <c r="W396" t="str">
        <f t="shared" si="6"/>
        <v/>
      </c>
      <c r="Y396" t="str">
        <f>IF(A396="","",ROUND((J396*4+K396*3+IF(I396="P393",5,IF(I396="P394",4,IF(I396="P395",3,2)))*2+IF(Z396="Sí",5,3))*2,0))</f>
        <v/>
      </c>
    </row>
    <row r="397" spans="2:25">
      <c r="B397" s="13"/>
      <c r="C397" s="14"/>
      <c r="D397" s="14"/>
      <c r="U397" s="13"/>
      <c r="V397" s="12"/>
      <c r="W397" t="str">
        <f t="shared" si="6"/>
        <v/>
      </c>
      <c r="Y397" t="str">
        <f>IF(A397="","",ROUND((J397*4+K397*3+IF(I397="P394",5,IF(I397="P395",4,IF(I397="P396",3,2)))*2+IF(Z397="Sí",5,3))*2,0))</f>
        <v/>
      </c>
    </row>
    <row r="398" spans="2:25">
      <c r="B398" s="13"/>
      <c r="C398" s="14"/>
      <c r="D398" s="14"/>
      <c r="U398" s="13"/>
      <c r="V398" s="12"/>
      <c r="W398" t="str">
        <f t="shared" si="6"/>
        <v/>
      </c>
      <c r="Y398" t="str">
        <f>IF(A398="","",ROUND((J398*4+K398*3+IF(I398="P395",5,IF(I398="P396",4,IF(I398="P397",3,2)))*2+IF(Z398="Sí",5,3))*2,0))</f>
        <v/>
      </c>
    </row>
    <row r="399" spans="2:25">
      <c r="B399" s="13"/>
      <c r="C399" s="14"/>
      <c r="D399" s="14"/>
      <c r="U399" s="13"/>
      <c r="V399" s="12"/>
      <c r="W399" t="str">
        <f t="shared" si="6"/>
        <v/>
      </c>
      <c r="Y399" t="str">
        <f>IF(A399="","",ROUND((J399*4+K399*3+IF(I399="P396",5,IF(I399="P397",4,IF(I399="P398",3,2)))*2+IF(Z399="Sí",5,3))*2,0))</f>
        <v/>
      </c>
    </row>
    <row r="400" spans="2:25">
      <c r="B400" s="13"/>
      <c r="C400" s="14"/>
      <c r="D400" s="14"/>
      <c r="U400" s="13"/>
      <c r="V400" s="12"/>
      <c r="W400" t="str">
        <f t="shared" si="6"/>
        <v/>
      </c>
      <c r="Y400" t="str">
        <f>IF(A400="","",ROUND((J400*4+K400*3+IF(I400="P397",5,IF(I400="P398",4,IF(I400="P399",3,2)))*2+IF(Z400="Sí",5,3))*2,0))</f>
        <v/>
      </c>
    </row>
    <row r="401" spans="2:25">
      <c r="B401" s="13"/>
      <c r="C401" s="14"/>
      <c r="D401" s="14"/>
      <c r="U401" s="13"/>
      <c r="V401" s="12"/>
      <c r="W401" t="str">
        <f t="shared" si="6"/>
        <v/>
      </c>
      <c r="Y401" t="str">
        <f>IF(A401="","",ROUND((J401*4+K401*3+IF(I401="P398",5,IF(I401="P399",4,IF(I401="P400",3,2)))*2+IF(Z401="Sí",5,3))*2,0))</f>
        <v/>
      </c>
    </row>
    <row r="402" spans="2:25">
      <c r="B402" s="13"/>
      <c r="C402" s="14"/>
      <c r="D402" s="14"/>
      <c r="U402" s="13"/>
      <c r="V402" s="12"/>
      <c r="W402" t="str">
        <f t="shared" si="6"/>
        <v/>
      </c>
      <c r="Y402" t="str">
        <f>IF(A402="","",ROUND((J402*4+K402*3+IF(I402="P399",5,IF(I402="P400",4,IF(I402="P401",3,2)))*2+IF(Z402="Sí",5,3))*2,0))</f>
        <v/>
      </c>
    </row>
    <row r="403" spans="2:25">
      <c r="B403" s="13"/>
      <c r="C403" s="14"/>
      <c r="D403" s="14"/>
      <c r="U403" s="13"/>
      <c r="V403" s="12"/>
      <c r="W403" t="str">
        <f t="shared" si="6"/>
        <v/>
      </c>
      <c r="Y403" t="str">
        <f>IF(A403="","",ROUND((J403*4+K403*3+IF(I403="P400",5,IF(I403="P401",4,IF(I403="P402",3,2)))*2+IF(Z403="Sí",5,3))*2,0))</f>
        <v/>
      </c>
    </row>
    <row r="404" spans="2:25">
      <c r="B404" s="13"/>
      <c r="C404" s="14"/>
      <c r="D404" s="14"/>
      <c r="U404" s="13"/>
      <c r="V404" s="12"/>
      <c r="W404" t="str">
        <f t="shared" si="6"/>
        <v/>
      </c>
      <c r="Y404" t="str">
        <f>IF(A404="","",ROUND((J404*4+K404*3+IF(I404="P401",5,IF(I404="P402",4,IF(I404="P403",3,2)))*2+IF(Z404="Sí",5,3))*2,0))</f>
        <v/>
      </c>
    </row>
    <row r="405" spans="2:25">
      <c r="B405" s="13"/>
      <c r="C405" s="14"/>
      <c r="D405" s="14"/>
      <c r="U405" s="13"/>
      <c r="V405" s="12"/>
      <c r="W405" t="str">
        <f t="shared" si="6"/>
        <v/>
      </c>
      <c r="Y405" t="str">
        <f>IF(A405="","",ROUND((J405*4+K405*3+IF(I405="P402",5,IF(I405="P403",4,IF(I405="P404",3,2)))*2+IF(Z405="Sí",5,3))*2,0))</f>
        <v/>
      </c>
    </row>
    <row r="406" spans="2:25">
      <c r="B406" s="13"/>
      <c r="C406" s="14"/>
      <c r="D406" s="14"/>
      <c r="U406" s="13"/>
      <c r="V406" s="12"/>
      <c r="W406" t="str">
        <f t="shared" si="6"/>
        <v/>
      </c>
      <c r="Y406" t="str">
        <f>IF(A406="","",ROUND((J406*4+K406*3+IF(I406="P403",5,IF(I406="P404",4,IF(I406="P405",3,2)))*2+IF(Z406="Sí",5,3))*2,0))</f>
        <v/>
      </c>
    </row>
    <row r="407" spans="2:25">
      <c r="B407" s="13"/>
      <c r="C407" s="14"/>
      <c r="D407" s="14"/>
      <c r="U407" s="13"/>
      <c r="V407" s="12"/>
      <c r="W407" t="str">
        <f t="shared" si="6"/>
        <v/>
      </c>
      <c r="Y407" t="str">
        <f>IF(A407="","",ROUND((J407*4+K407*3+IF(I407="P404",5,IF(I407="P405",4,IF(I407="P406",3,2)))*2+IF(Z407="Sí",5,3))*2,0))</f>
        <v/>
      </c>
    </row>
    <row r="408" spans="2:25">
      <c r="B408" s="13"/>
      <c r="C408" s="14"/>
      <c r="D408" s="14"/>
      <c r="U408" s="13"/>
      <c r="V408" s="12"/>
      <c r="W408" t="str">
        <f t="shared" si="6"/>
        <v/>
      </c>
      <c r="Y408" t="str">
        <f>IF(A408="","",ROUND((J408*4+K408*3+IF(I408="P405",5,IF(I408="P406",4,IF(I408="P407",3,2)))*2+IF(Z408="Sí",5,3))*2,0))</f>
        <v/>
      </c>
    </row>
    <row r="409" spans="2:25">
      <c r="B409" s="13"/>
      <c r="C409" s="14"/>
      <c r="D409" s="14"/>
      <c r="U409" s="13"/>
      <c r="V409" s="12"/>
      <c r="W409" t="str">
        <f t="shared" si="6"/>
        <v/>
      </c>
      <c r="Y409" t="str">
        <f>IF(A409="","",ROUND((J409*4+K409*3+IF(I409="P406",5,IF(I409="P407",4,IF(I409="P408",3,2)))*2+IF(Z409="Sí",5,3))*2,0))</f>
        <v/>
      </c>
    </row>
    <row r="410" spans="2:25">
      <c r="B410" s="13"/>
      <c r="C410" s="14"/>
      <c r="D410" s="14"/>
      <c r="U410" s="13"/>
      <c r="V410" s="12"/>
      <c r="W410" t="str">
        <f t="shared" si="6"/>
        <v/>
      </c>
      <c r="Y410" t="str">
        <f>IF(A410="","",ROUND((J410*4+K410*3+IF(I410="P407",5,IF(I410="P408",4,IF(I410="P409",3,2)))*2+IF(Z410="Sí",5,3))*2,0))</f>
        <v/>
      </c>
    </row>
    <row r="411" spans="2:25">
      <c r="B411" s="13"/>
      <c r="C411" s="14"/>
      <c r="D411" s="14"/>
      <c r="U411" s="13"/>
      <c r="V411" s="12"/>
      <c r="W411" t="str">
        <f t="shared" si="6"/>
        <v/>
      </c>
      <c r="Y411" t="str">
        <f>IF(A411="","",ROUND((J411*4+K411*3+IF(I411="P408",5,IF(I411="P409",4,IF(I411="P410",3,2)))*2+IF(Z411="Sí",5,3))*2,0))</f>
        <v/>
      </c>
    </row>
    <row r="412" spans="2:25">
      <c r="B412" s="13"/>
      <c r="C412" s="14"/>
      <c r="D412" s="14"/>
      <c r="U412" s="13"/>
      <c r="V412" s="12"/>
      <c r="W412" t="str">
        <f t="shared" si="6"/>
        <v/>
      </c>
      <c r="Y412" t="str">
        <f>IF(A412="","",ROUND((J412*4+K412*3+IF(I412="P409",5,IF(I412="P410",4,IF(I412="P411",3,2)))*2+IF(Z412="Sí",5,3))*2,0))</f>
        <v/>
      </c>
    </row>
    <row r="413" spans="2:25">
      <c r="B413" s="13"/>
      <c r="C413" s="14"/>
      <c r="D413" s="14"/>
      <c r="U413" s="13"/>
      <c r="V413" s="12"/>
      <c r="W413" t="str">
        <f t="shared" si="6"/>
        <v/>
      </c>
      <c r="Y413" t="str">
        <f>IF(A413="","",ROUND((J413*4+K413*3+IF(I413="P410",5,IF(I413="P411",4,IF(I413="P412",3,2)))*2+IF(Z413="Sí",5,3))*2,0))</f>
        <v/>
      </c>
    </row>
    <row r="414" spans="2:25">
      <c r="B414" s="13"/>
      <c r="C414" s="14"/>
      <c r="D414" s="14"/>
      <c r="U414" s="13"/>
      <c r="V414" s="12"/>
      <c r="W414" t="str">
        <f t="shared" si="6"/>
        <v/>
      </c>
      <c r="Y414" t="str">
        <f>IF(A414="","",ROUND((J414*4+K414*3+IF(I414="P411",5,IF(I414="P412",4,IF(I414="P413",3,2)))*2+IF(Z414="Sí",5,3))*2,0))</f>
        <v/>
      </c>
    </row>
    <row r="415" spans="2:25">
      <c r="B415" s="13"/>
      <c r="C415" s="14"/>
      <c r="D415" s="14"/>
      <c r="U415" s="13"/>
      <c r="V415" s="12"/>
      <c r="W415" t="str">
        <f t="shared" si="6"/>
        <v/>
      </c>
      <c r="Y415" t="str">
        <f>IF(A415="","",ROUND((J415*4+K415*3+IF(I415="P412",5,IF(I415="P413",4,IF(I415="P414",3,2)))*2+IF(Z415="Sí",5,3))*2,0))</f>
        <v/>
      </c>
    </row>
    <row r="416" spans="2:25">
      <c r="B416" s="13"/>
      <c r="C416" s="14"/>
      <c r="D416" s="14"/>
      <c r="U416" s="13"/>
      <c r="V416" s="12"/>
      <c r="W416" t="str">
        <f t="shared" si="6"/>
        <v/>
      </c>
      <c r="Y416" t="str">
        <f>IF(A416="","",ROUND((J416*4+K416*3+IF(I416="P413",5,IF(I416="P414",4,IF(I416="P415",3,2)))*2+IF(Z416="Sí",5,3))*2,0))</f>
        <v/>
      </c>
    </row>
    <row r="417" spans="2:25">
      <c r="B417" s="13"/>
      <c r="C417" s="14"/>
      <c r="D417" s="14"/>
      <c r="U417" s="13"/>
      <c r="V417" s="12"/>
      <c r="W417" t="str">
        <f t="shared" si="6"/>
        <v/>
      </c>
      <c r="Y417" t="str">
        <f>IF(A417="","",ROUND((J417*4+K417*3+IF(I417="P414",5,IF(I417="P415",4,IF(I417="P416",3,2)))*2+IF(Z417="Sí",5,3))*2,0))</f>
        <v/>
      </c>
    </row>
    <row r="418" spans="2:25">
      <c r="B418" s="13"/>
      <c r="C418" s="14"/>
      <c r="D418" s="14"/>
      <c r="U418" s="13"/>
      <c r="V418" s="12"/>
      <c r="W418" t="str">
        <f t="shared" si="6"/>
        <v/>
      </c>
      <c r="Y418" t="str">
        <f>IF(A418="","",ROUND((J418*4+K418*3+IF(I418="P415",5,IF(I418="P416",4,IF(I418="P417",3,2)))*2+IF(Z418="Sí",5,3))*2,0))</f>
        <v/>
      </c>
    </row>
    <row r="419" spans="2:25">
      <c r="B419" s="13"/>
      <c r="C419" s="14"/>
      <c r="D419" s="14"/>
      <c r="U419" s="13"/>
      <c r="V419" s="12"/>
      <c r="W419" t="str">
        <f t="shared" si="6"/>
        <v/>
      </c>
      <c r="Y419" t="str">
        <f>IF(A419="","",ROUND((J419*4+K419*3+IF(I419="P416",5,IF(I419="P417",4,IF(I419="P418",3,2)))*2+IF(Z419="Sí",5,3))*2,0))</f>
        <v/>
      </c>
    </row>
    <row r="420" spans="2:25">
      <c r="B420" s="13"/>
      <c r="C420" s="14"/>
      <c r="D420" s="14"/>
      <c r="U420" s="13"/>
      <c r="V420" s="12"/>
      <c r="W420" t="str">
        <f t="shared" si="6"/>
        <v/>
      </c>
      <c r="Y420" t="str">
        <f>IF(A420="","",ROUND((J420*4+K420*3+IF(I420="P417",5,IF(I420="P418",4,IF(I420="P419",3,2)))*2+IF(Z420="Sí",5,3))*2,0))</f>
        <v/>
      </c>
    </row>
    <row r="421" spans="2:25">
      <c r="B421" s="13"/>
      <c r="C421" s="14"/>
      <c r="D421" s="14"/>
      <c r="U421" s="13"/>
      <c r="V421" s="12"/>
      <c r="W421" t="str">
        <f t="shared" si="6"/>
        <v/>
      </c>
      <c r="Y421" t="str">
        <f>IF(A421="","",ROUND((J421*4+K421*3+IF(I421="P418",5,IF(I421="P419",4,IF(I421="P420",3,2)))*2+IF(Z421="Sí",5,3))*2,0))</f>
        <v/>
      </c>
    </row>
    <row r="422" spans="2:25">
      <c r="B422" s="13"/>
      <c r="C422" s="14"/>
      <c r="D422" s="14"/>
      <c r="U422" s="13"/>
      <c r="V422" s="12"/>
      <c r="W422" t="str">
        <f t="shared" si="6"/>
        <v/>
      </c>
      <c r="Y422" t="str">
        <f>IF(A422="","",ROUND((J422*4+K422*3+IF(I422="P419",5,IF(I422="P420",4,IF(I422="P421",3,2)))*2+IF(Z422="Sí",5,3))*2,0))</f>
        <v/>
      </c>
    </row>
    <row r="423" spans="2:25">
      <c r="B423" s="13"/>
      <c r="C423" s="14"/>
      <c r="D423" s="14"/>
      <c r="U423" s="13"/>
      <c r="V423" s="12"/>
      <c r="W423" t="str">
        <f t="shared" si="6"/>
        <v/>
      </c>
      <c r="Y423" t="str">
        <f>IF(A423="","",ROUND((J423*4+K423*3+IF(I423="P420",5,IF(I423="P421",4,IF(I423="P422",3,2)))*2+IF(Z423="Sí",5,3))*2,0))</f>
        <v/>
      </c>
    </row>
    <row r="424" spans="2:25">
      <c r="B424" s="13"/>
      <c r="C424" s="14"/>
      <c r="D424" s="14"/>
      <c r="U424" s="13"/>
      <c r="V424" s="12"/>
      <c r="W424" t="str">
        <f t="shared" si="6"/>
        <v/>
      </c>
      <c r="Y424" t="str">
        <f>IF(A424="","",ROUND((J424*4+K424*3+IF(I424="P421",5,IF(I424="P422",4,IF(I424="P423",3,2)))*2+IF(Z424="Sí",5,3))*2,0))</f>
        <v/>
      </c>
    </row>
    <row r="425" spans="2:25">
      <c r="B425" s="13"/>
      <c r="C425" s="14"/>
      <c r="D425" s="14"/>
      <c r="U425" s="13"/>
      <c r="V425" s="12"/>
      <c r="W425" t="str">
        <f t="shared" si="6"/>
        <v/>
      </c>
      <c r="Y425" t="str">
        <f>IF(A425="","",ROUND((J425*4+K425*3+IF(I425="P422",5,IF(I425="P423",4,IF(I425="P424",3,2)))*2+IF(Z425="Sí",5,3))*2,0))</f>
        <v/>
      </c>
    </row>
    <row r="426" spans="2:25">
      <c r="B426" s="13"/>
      <c r="C426" s="14"/>
      <c r="D426" s="14"/>
      <c r="U426" s="13"/>
      <c r="V426" s="12"/>
      <c r="W426" t="str">
        <f t="shared" si="6"/>
        <v/>
      </c>
      <c r="Y426" t="str">
        <f>IF(A426="","",ROUND((J426*4+K426*3+IF(I426="P423",5,IF(I426="P424",4,IF(I426="P425",3,2)))*2+IF(Z426="Sí",5,3))*2,0))</f>
        <v/>
      </c>
    </row>
    <row r="427" spans="2:25">
      <c r="B427" s="13"/>
      <c r="C427" s="14"/>
      <c r="D427" s="14"/>
      <c r="U427" s="13"/>
      <c r="V427" s="12"/>
      <c r="W427" t="str">
        <f t="shared" si="6"/>
        <v/>
      </c>
      <c r="Y427" t="str">
        <f>IF(A427="","",ROUND((J427*4+K427*3+IF(I427="P424",5,IF(I427="P425",4,IF(I427="P426",3,2)))*2+IF(Z427="Sí",5,3))*2,0))</f>
        <v/>
      </c>
    </row>
    <row r="428" spans="2:25">
      <c r="B428" s="13"/>
      <c r="C428" s="14"/>
      <c r="D428" s="14"/>
      <c r="U428" s="13"/>
      <c r="V428" s="12"/>
      <c r="W428" t="str">
        <f t="shared" si="6"/>
        <v/>
      </c>
      <c r="Y428" t="str">
        <f>IF(A428="","",ROUND((J428*4+K428*3+IF(I428="P425",5,IF(I428="P426",4,IF(I428="P427",3,2)))*2+IF(Z428="Sí",5,3))*2,0))</f>
        <v/>
      </c>
    </row>
    <row r="429" spans="2:25">
      <c r="B429" s="13"/>
      <c r="C429" s="14"/>
      <c r="D429" s="14"/>
      <c r="U429" s="13"/>
      <c r="V429" s="12"/>
      <c r="W429" t="str">
        <f t="shared" si="6"/>
        <v/>
      </c>
      <c r="Y429" t="str">
        <f>IF(A429="","",ROUND((J429*4+K429*3+IF(I429="P426",5,IF(I429="P427",4,IF(I429="P428",3,2)))*2+IF(Z429="Sí",5,3))*2,0))</f>
        <v/>
      </c>
    </row>
    <row r="430" spans="2:25">
      <c r="B430" s="13"/>
      <c r="C430" s="14"/>
      <c r="D430" s="14"/>
      <c r="U430" s="13"/>
      <c r="V430" s="12"/>
      <c r="W430" t="str">
        <f t="shared" si="6"/>
        <v/>
      </c>
      <c r="Y430" t="str">
        <f>IF(A430="","",ROUND((J430*4+K430*3+IF(I430="P427",5,IF(I430="P428",4,IF(I430="P429",3,2)))*2+IF(Z430="Sí",5,3))*2,0))</f>
        <v/>
      </c>
    </row>
    <row r="431" spans="2:25">
      <c r="B431" s="13"/>
      <c r="C431" s="14"/>
      <c r="D431" s="14"/>
      <c r="U431" s="13"/>
      <c r="V431" s="12"/>
      <c r="W431" t="str">
        <f t="shared" si="6"/>
        <v/>
      </c>
      <c r="Y431" t="str">
        <f>IF(A431="","",ROUND((J431*4+K431*3+IF(I431="P428",5,IF(I431="P429",4,IF(I431="P430",3,2)))*2+IF(Z431="Sí",5,3))*2,0))</f>
        <v/>
      </c>
    </row>
    <row r="432" spans="2:25">
      <c r="B432" s="13"/>
      <c r="C432" s="14"/>
      <c r="D432" s="14"/>
      <c r="U432" s="13"/>
      <c r="V432" s="12"/>
      <c r="W432" t="str">
        <f t="shared" si="6"/>
        <v/>
      </c>
      <c r="Y432" t="str">
        <f>IF(A432="","",ROUND((J432*4+K432*3+IF(I432="P429",5,IF(I432="P430",4,IF(I432="P431",3,2)))*2+IF(Z432="Sí",5,3))*2,0))</f>
        <v/>
      </c>
    </row>
    <row r="433" spans="2:25">
      <c r="B433" s="13"/>
      <c r="C433" s="14"/>
      <c r="D433" s="14"/>
      <c r="U433" s="13"/>
      <c r="V433" s="12"/>
      <c r="W433" t="str">
        <f t="shared" si="6"/>
        <v/>
      </c>
      <c r="Y433" t="str">
        <f>IF(A433="","",ROUND((J433*4+K433*3+IF(I433="P430",5,IF(I433="P431",4,IF(I433="P432",3,2)))*2+IF(Z433="Sí",5,3))*2,0))</f>
        <v/>
      </c>
    </row>
    <row r="434" spans="2:25">
      <c r="B434" s="13"/>
      <c r="C434" s="14"/>
      <c r="D434" s="14"/>
      <c r="U434" s="13"/>
      <c r="V434" s="12"/>
      <c r="W434" t="str">
        <f t="shared" si="6"/>
        <v/>
      </c>
      <c r="Y434" t="str">
        <f>IF(A434="","",ROUND((J434*4+K434*3+IF(I434="P431",5,IF(I434="P432",4,IF(I434="P433",3,2)))*2+IF(Z434="Sí",5,3))*2,0))</f>
        <v/>
      </c>
    </row>
    <row r="435" spans="2:25">
      <c r="B435" s="13"/>
      <c r="C435" s="14"/>
      <c r="D435" s="14"/>
      <c r="U435" s="13"/>
      <c r="V435" s="12"/>
      <c r="W435" t="str">
        <f t="shared" si="6"/>
        <v/>
      </c>
      <c r="Y435" t="str">
        <f>IF(A435="","",ROUND((J435*4+K435*3+IF(I435="P432",5,IF(I435="P433",4,IF(I435="P434",3,2)))*2+IF(Z435="Sí",5,3))*2,0))</f>
        <v/>
      </c>
    </row>
    <row r="436" spans="2:25">
      <c r="B436" s="13"/>
      <c r="C436" s="14"/>
      <c r="D436" s="14"/>
      <c r="U436" s="13"/>
      <c r="V436" s="12"/>
      <c r="W436" t="str">
        <f t="shared" si="6"/>
        <v/>
      </c>
      <c r="Y436" t="str">
        <f>IF(A436="","",ROUND((J436*4+K436*3+IF(I436="P433",5,IF(I436="P434",4,IF(I436="P435",3,2)))*2+IF(Z436="Sí",5,3))*2,0))</f>
        <v/>
      </c>
    </row>
    <row r="437" spans="2:25">
      <c r="B437" s="13"/>
      <c r="C437" s="14"/>
      <c r="D437" s="14"/>
      <c r="U437" s="13"/>
      <c r="V437" s="12"/>
      <c r="W437" t="str">
        <f t="shared" si="6"/>
        <v/>
      </c>
      <c r="Y437" t="str">
        <f>IF(A437="","",ROUND((J437*4+K437*3+IF(I437="P434",5,IF(I437="P435",4,IF(I437="P436",3,2)))*2+IF(Z437="Sí",5,3))*2,0))</f>
        <v/>
      </c>
    </row>
    <row r="438" spans="2:25">
      <c r="B438" s="13"/>
      <c r="C438" s="14"/>
      <c r="D438" s="14"/>
      <c r="U438" s="13"/>
      <c r="V438" s="12"/>
      <c r="W438" t="str">
        <f t="shared" si="6"/>
        <v/>
      </c>
      <c r="Y438" t="str">
        <f>IF(A438="","",ROUND((J438*4+K438*3+IF(I438="P435",5,IF(I438="P436",4,IF(I438="P437",3,2)))*2+IF(Z438="Sí",5,3))*2,0))</f>
        <v/>
      </c>
    </row>
    <row r="439" spans="2:25">
      <c r="B439" s="13"/>
      <c r="C439" s="14"/>
      <c r="D439" s="14"/>
      <c r="U439" s="13"/>
      <c r="V439" s="12"/>
      <c r="W439" t="str">
        <f t="shared" si="6"/>
        <v/>
      </c>
      <c r="Y439" t="str">
        <f>IF(A439="","",ROUND((J439*4+K439*3+IF(I439="P436",5,IF(I439="P437",4,IF(I439="P438",3,2)))*2+IF(Z439="Sí",5,3))*2,0))</f>
        <v/>
      </c>
    </row>
    <row r="440" spans="2:25">
      <c r="B440" s="13"/>
      <c r="C440" s="14"/>
      <c r="D440" s="14"/>
      <c r="U440" s="13"/>
      <c r="V440" s="12"/>
      <c r="W440" t="str">
        <f t="shared" si="6"/>
        <v/>
      </c>
      <c r="Y440" t="str">
        <f>IF(A440="","",ROUND((J440*4+K440*3+IF(I440="P437",5,IF(I440="P438",4,IF(I440="P439",3,2)))*2+IF(Z440="Sí",5,3))*2,0))</f>
        <v/>
      </c>
    </row>
    <row r="441" spans="2:25">
      <c r="B441" s="13"/>
      <c r="C441" s="14"/>
      <c r="D441" s="14"/>
      <c r="U441" s="13"/>
      <c r="V441" s="12"/>
      <c r="W441" t="str">
        <f t="shared" si="6"/>
        <v/>
      </c>
      <c r="Y441" t="str">
        <f>IF(A441="","",ROUND((J441*4+K441*3+IF(I441="P438",5,IF(I441="P439",4,IF(I441="P440",3,2)))*2+IF(Z441="Sí",5,3))*2,0))</f>
        <v/>
      </c>
    </row>
    <row r="442" spans="2:25">
      <c r="B442" s="13"/>
      <c r="C442" s="14"/>
      <c r="D442" s="14"/>
      <c r="U442" s="13"/>
      <c r="V442" s="12"/>
      <c r="W442" t="str">
        <f t="shared" si="6"/>
        <v/>
      </c>
      <c r="Y442" t="str">
        <f>IF(A442="","",ROUND((J442*4+K442*3+IF(I442="P439",5,IF(I442="P440",4,IF(I442="P441",3,2)))*2+IF(Z442="Sí",5,3))*2,0))</f>
        <v/>
      </c>
    </row>
    <row r="443" spans="2:25">
      <c r="B443" s="13"/>
      <c r="C443" s="14"/>
      <c r="D443" s="14"/>
      <c r="U443" s="13"/>
      <c r="V443" s="12"/>
      <c r="W443" t="str">
        <f t="shared" si="6"/>
        <v/>
      </c>
      <c r="Y443" t="str">
        <f>IF(A443="","",ROUND((J443*4+K443*3+IF(I443="P440",5,IF(I443="P441",4,IF(I443="P442",3,2)))*2+IF(Z443="Sí",5,3))*2,0))</f>
        <v/>
      </c>
    </row>
    <row r="444" spans="2:25">
      <c r="B444" s="13"/>
      <c r="C444" s="14"/>
      <c r="D444" s="14"/>
      <c r="U444" s="13"/>
      <c r="V444" s="12"/>
      <c r="W444" t="str">
        <f t="shared" si="6"/>
        <v/>
      </c>
      <c r="Y444" t="str">
        <f>IF(A444="","",ROUND((J444*4+K444*3+IF(I444="P441",5,IF(I444="P442",4,IF(I444="P443",3,2)))*2+IF(Z444="Sí",5,3))*2,0))</f>
        <v/>
      </c>
    </row>
    <row r="445" spans="2:25">
      <c r="B445" s="13"/>
      <c r="C445" s="14"/>
      <c r="D445" s="14"/>
      <c r="U445" s="13"/>
      <c r="V445" s="12"/>
      <c r="W445" t="str">
        <f t="shared" si="6"/>
        <v/>
      </c>
      <c r="Y445" t="str">
        <f>IF(A445="","",ROUND((J445*4+K445*3+IF(I445="P442",5,IF(I445="P443",4,IF(I445="P444",3,2)))*2+IF(Z445="Sí",5,3))*2,0))</f>
        <v/>
      </c>
    </row>
    <row r="446" spans="2:25">
      <c r="B446" s="13"/>
      <c r="C446" s="14"/>
      <c r="D446" s="14"/>
      <c r="U446" s="13"/>
      <c r="V446" s="12"/>
      <c r="W446" t="str">
        <f t="shared" si="6"/>
        <v/>
      </c>
      <c r="Y446" t="str">
        <f>IF(A446="","",ROUND((J446*4+K446*3+IF(I446="P443",5,IF(I446="P444",4,IF(I446="P445",3,2)))*2+IF(Z446="Sí",5,3))*2,0))</f>
        <v/>
      </c>
    </row>
    <row r="447" spans="2:25">
      <c r="B447" s="13"/>
      <c r="C447" s="14"/>
      <c r="D447" s="14"/>
      <c r="U447" s="13"/>
      <c r="V447" s="12"/>
      <c r="W447" t="str">
        <f t="shared" si="6"/>
        <v/>
      </c>
      <c r="Y447" t="str">
        <f>IF(A447="","",ROUND((J447*4+K447*3+IF(I447="P444",5,IF(I447="P445",4,IF(I447="P446",3,2)))*2+IF(Z447="Sí",5,3))*2,0))</f>
        <v/>
      </c>
    </row>
    <row r="448" spans="2:25">
      <c r="B448" s="13"/>
      <c r="C448" s="14"/>
      <c r="D448" s="14"/>
      <c r="U448" s="13"/>
      <c r="V448" s="12"/>
      <c r="W448" t="str">
        <f t="shared" si="6"/>
        <v/>
      </c>
      <c r="Y448" t="str">
        <f>IF(A448="","",ROUND((J448*4+K448*3+IF(I448="P445",5,IF(I448="P446",4,IF(I448="P447",3,2)))*2+IF(Z448="Sí",5,3))*2,0))</f>
        <v/>
      </c>
    </row>
    <row r="449" spans="2:25">
      <c r="B449" s="13"/>
      <c r="C449" s="14"/>
      <c r="D449" s="14"/>
      <c r="U449" s="13"/>
      <c r="V449" s="12"/>
      <c r="W449" t="str">
        <f t="shared" si="6"/>
        <v/>
      </c>
      <c r="Y449" t="str">
        <f>IF(A449="","",ROUND((J449*4+K449*3+IF(I449="P446",5,IF(I449="P447",4,IF(I449="P448",3,2)))*2+IF(Z449="Sí",5,3))*2,0))</f>
        <v/>
      </c>
    </row>
    <row r="450" spans="2:25">
      <c r="B450" s="13"/>
      <c r="C450" s="14"/>
      <c r="D450" s="14"/>
      <c r="U450" s="13"/>
      <c r="V450" s="12"/>
      <c r="W450" t="str">
        <f t="shared" si="6"/>
        <v/>
      </c>
      <c r="Y450" t="str">
        <f>IF(A450="","",ROUND((J450*4+K450*3+IF(I450="P447",5,IF(I450="P448",4,IF(I450="P449",3,2)))*2+IF(Z450="Sí",5,3))*2,0))</f>
        <v/>
      </c>
    </row>
    <row r="451" spans="2:25">
      <c r="B451" s="13"/>
      <c r="C451" s="14"/>
      <c r="D451" s="14"/>
      <c r="U451" s="13"/>
      <c r="V451" s="12"/>
      <c r="W451" t="str">
        <f t="shared" si="6"/>
        <v/>
      </c>
      <c r="Y451" t="str">
        <f>IF(A451="","",ROUND((J451*4+K451*3+IF(I451="P448",5,IF(I451="P449",4,IF(I451="P450",3,2)))*2+IF(Z451="Sí",5,3))*2,0))</f>
        <v/>
      </c>
    </row>
    <row r="452" spans="2:25">
      <c r="B452" s="13"/>
      <c r="C452" s="14"/>
      <c r="D452" s="14"/>
      <c r="U452" s="13"/>
      <c r="V452" s="12"/>
      <c r="W452" t="str">
        <f t="shared" ref="W452:W500" si="7">IF(OR(C452="",D452=""),"",ROUND((D452-C452)*1440,0))</f>
        <v/>
      </c>
      <c r="Y452" t="str">
        <f>IF(A452="","",ROUND((J452*4+K452*3+IF(I452="P449",5,IF(I452="P450",4,IF(I452="P451",3,2)))*2+IF(Z452="Sí",5,3))*2,0))</f>
        <v/>
      </c>
    </row>
    <row r="453" spans="2:25">
      <c r="B453" s="13"/>
      <c r="C453" s="14"/>
      <c r="D453" s="14"/>
      <c r="U453" s="13"/>
      <c r="V453" s="12"/>
      <c r="W453" t="str">
        <f t="shared" si="7"/>
        <v/>
      </c>
      <c r="Y453" t="str">
        <f>IF(A453="","",ROUND((J453*4+K453*3+IF(I453="P450",5,IF(I453="P451",4,IF(I453="P452",3,2)))*2+IF(Z453="Sí",5,3))*2,0))</f>
        <v/>
      </c>
    </row>
    <row r="454" spans="2:25">
      <c r="B454" s="13"/>
      <c r="C454" s="14"/>
      <c r="D454" s="14"/>
      <c r="U454" s="13"/>
      <c r="V454" s="12"/>
      <c r="W454" t="str">
        <f t="shared" si="7"/>
        <v/>
      </c>
      <c r="Y454" t="str">
        <f>IF(A454="","",ROUND((J454*4+K454*3+IF(I454="P451",5,IF(I454="P452",4,IF(I454="P453",3,2)))*2+IF(Z454="Sí",5,3))*2,0))</f>
        <v/>
      </c>
    </row>
    <row r="455" spans="2:25">
      <c r="B455" s="13"/>
      <c r="C455" s="14"/>
      <c r="D455" s="14"/>
      <c r="U455" s="13"/>
      <c r="V455" s="12"/>
      <c r="W455" t="str">
        <f t="shared" si="7"/>
        <v/>
      </c>
      <c r="Y455" t="str">
        <f>IF(A455="","",ROUND((J455*4+K455*3+IF(I455="P452",5,IF(I455="P453",4,IF(I455="P454",3,2)))*2+IF(Z455="Sí",5,3))*2,0))</f>
        <v/>
      </c>
    </row>
    <row r="456" spans="2:25">
      <c r="B456" s="13"/>
      <c r="C456" s="14"/>
      <c r="D456" s="14"/>
      <c r="U456" s="13"/>
      <c r="V456" s="12"/>
      <c r="W456" t="str">
        <f t="shared" si="7"/>
        <v/>
      </c>
      <c r="Y456" t="str">
        <f>IF(A456="","",ROUND((J456*4+K456*3+IF(I456="P453",5,IF(I456="P454",4,IF(I456="P455",3,2)))*2+IF(Z456="Sí",5,3))*2,0))</f>
        <v/>
      </c>
    </row>
    <row r="457" spans="2:25">
      <c r="B457" s="13"/>
      <c r="C457" s="14"/>
      <c r="D457" s="14"/>
      <c r="U457" s="13"/>
      <c r="V457" s="12"/>
      <c r="W457" t="str">
        <f t="shared" si="7"/>
        <v/>
      </c>
      <c r="Y457" t="str">
        <f>IF(A457="","",ROUND((J457*4+K457*3+IF(I457="P454",5,IF(I457="P455",4,IF(I457="P456",3,2)))*2+IF(Z457="Sí",5,3))*2,0))</f>
        <v/>
      </c>
    </row>
    <row r="458" spans="2:25">
      <c r="B458" s="13"/>
      <c r="C458" s="14"/>
      <c r="D458" s="14"/>
      <c r="U458" s="13"/>
      <c r="V458" s="12"/>
      <c r="W458" t="str">
        <f t="shared" si="7"/>
        <v/>
      </c>
      <c r="Y458" t="str">
        <f>IF(A458="","",ROUND((J458*4+K458*3+IF(I458="P455",5,IF(I458="P456",4,IF(I458="P457",3,2)))*2+IF(Z458="Sí",5,3))*2,0))</f>
        <v/>
      </c>
    </row>
    <row r="459" spans="2:25">
      <c r="B459" s="13"/>
      <c r="C459" s="14"/>
      <c r="D459" s="14"/>
      <c r="U459" s="13"/>
      <c r="V459" s="12"/>
      <c r="W459" t="str">
        <f t="shared" si="7"/>
        <v/>
      </c>
      <c r="Y459" t="str">
        <f>IF(A459="","",ROUND((J459*4+K459*3+IF(I459="P456",5,IF(I459="P457",4,IF(I459="P458",3,2)))*2+IF(Z459="Sí",5,3))*2,0))</f>
        <v/>
      </c>
    </row>
    <row r="460" spans="2:25">
      <c r="B460" s="13"/>
      <c r="C460" s="14"/>
      <c r="D460" s="14"/>
      <c r="U460" s="13"/>
      <c r="V460" s="12"/>
      <c r="W460" t="str">
        <f t="shared" si="7"/>
        <v/>
      </c>
      <c r="Y460" t="str">
        <f>IF(A460="","",ROUND((J460*4+K460*3+IF(I460="P457",5,IF(I460="P458",4,IF(I460="P459",3,2)))*2+IF(Z460="Sí",5,3))*2,0))</f>
        <v/>
      </c>
    </row>
    <row r="461" spans="2:25">
      <c r="B461" s="13"/>
      <c r="C461" s="14"/>
      <c r="D461" s="14"/>
      <c r="U461" s="13"/>
      <c r="V461" s="12"/>
      <c r="W461" t="str">
        <f t="shared" si="7"/>
        <v/>
      </c>
      <c r="Y461" t="str">
        <f>IF(A461="","",ROUND((J461*4+K461*3+IF(I461="P458",5,IF(I461="P459",4,IF(I461="P460",3,2)))*2+IF(Z461="Sí",5,3))*2,0))</f>
        <v/>
      </c>
    </row>
    <row r="462" spans="2:25">
      <c r="B462" s="13"/>
      <c r="C462" s="14"/>
      <c r="D462" s="14"/>
      <c r="U462" s="13"/>
      <c r="V462" s="12"/>
      <c r="W462" t="str">
        <f t="shared" si="7"/>
        <v/>
      </c>
      <c r="Y462" t="str">
        <f>IF(A462="","",ROUND((J462*4+K462*3+IF(I462="P459",5,IF(I462="P460",4,IF(I462="P461",3,2)))*2+IF(Z462="Sí",5,3))*2,0))</f>
        <v/>
      </c>
    </row>
    <row r="463" spans="2:25">
      <c r="B463" s="13"/>
      <c r="C463" s="14"/>
      <c r="D463" s="14"/>
      <c r="U463" s="13"/>
      <c r="V463" s="12"/>
      <c r="W463" t="str">
        <f t="shared" si="7"/>
        <v/>
      </c>
      <c r="Y463" t="str">
        <f>IF(A463="","",ROUND((J463*4+K463*3+IF(I463="P460",5,IF(I463="P461",4,IF(I463="P462",3,2)))*2+IF(Z463="Sí",5,3))*2,0))</f>
        <v/>
      </c>
    </row>
    <row r="464" spans="2:25">
      <c r="B464" s="13"/>
      <c r="C464" s="14"/>
      <c r="D464" s="14"/>
      <c r="U464" s="13"/>
      <c r="V464" s="12"/>
      <c r="W464" t="str">
        <f t="shared" si="7"/>
        <v/>
      </c>
      <c r="Y464" t="str">
        <f>IF(A464="","",ROUND((J464*4+K464*3+IF(I464="P461",5,IF(I464="P462",4,IF(I464="P463",3,2)))*2+IF(Z464="Sí",5,3))*2,0))</f>
        <v/>
      </c>
    </row>
    <row r="465" spans="2:25">
      <c r="B465" s="13"/>
      <c r="C465" s="14"/>
      <c r="D465" s="14"/>
      <c r="U465" s="13"/>
      <c r="V465" s="12"/>
      <c r="W465" t="str">
        <f t="shared" si="7"/>
        <v/>
      </c>
      <c r="Y465" t="str">
        <f>IF(A465="","",ROUND((J465*4+K465*3+IF(I465="P462",5,IF(I465="P463",4,IF(I465="P464",3,2)))*2+IF(Z465="Sí",5,3))*2,0))</f>
        <v/>
      </c>
    </row>
    <row r="466" spans="2:25">
      <c r="B466" s="13"/>
      <c r="C466" s="14"/>
      <c r="D466" s="14"/>
      <c r="U466" s="13"/>
      <c r="V466" s="12"/>
      <c r="W466" t="str">
        <f t="shared" si="7"/>
        <v/>
      </c>
      <c r="Y466" t="str">
        <f>IF(A466="","",ROUND((J466*4+K466*3+IF(I466="P463",5,IF(I466="P464",4,IF(I466="P465",3,2)))*2+IF(Z466="Sí",5,3))*2,0))</f>
        <v/>
      </c>
    </row>
    <row r="467" spans="2:25">
      <c r="B467" s="13"/>
      <c r="C467" s="14"/>
      <c r="D467" s="14"/>
      <c r="U467" s="13"/>
      <c r="V467" s="12"/>
      <c r="W467" t="str">
        <f t="shared" si="7"/>
        <v/>
      </c>
      <c r="Y467" t="str">
        <f>IF(A467="","",ROUND((J467*4+K467*3+IF(I467="P464",5,IF(I467="P465",4,IF(I467="P466",3,2)))*2+IF(Z467="Sí",5,3))*2,0))</f>
        <v/>
      </c>
    </row>
    <row r="468" spans="2:25">
      <c r="B468" s="13"/>
      <c r="C468" s="14"/>
      <c r="D468" s="14"/>
      <c r="U468" s="13"/>
      <c r="V468" s="12"/>
      <c r="W468" t="str">
        <f t="shared" si="7"/>
        <v/>
      </c>
      <c r="Y468" t="str">
        <f>IF(A468="","",ROUND((J468*4+K468*3+IF(I468="P465",5,IF(I468="P466",4,IF(I468="P467",3,2)))*2+IF(Z468="Sí",5,3))*2,0))</f>
        <v/>
      </c>
    </row>
    <row r="469" spans="2:25">
      <c r="B469" s="13"/>
      <c r="C469" s="14"/>
      <c r="D469" s="14"/>
      <c r="U469" s="13"/>
      <c r="V469" s="12"/>
      <c r="W469" t="str">
        <f t="shared" si="7"/>
        <v/>
      </c>
      <c r="Y469" t="str">
        <f>IF(A469="","",ROUND((J469*4+K469*3+IF(I469="P466",5,IF(I469="P467",4,IF(I469="P468",3,2)))*2+IF(Z469="Sí",5,3))*2,0))</f>
        <v/>
      </c>
    </row>
    <row r="470" spans="2:25">
      <c r="B470" s="13"/>
      <c r="C470" s="14"/>
      <c r="D470" s="14"/>
      <c r="U470" s="13"/>
      <c r="V470" s="12"/>
      <c r="W470" t="str">
        <f t="shared" si="7"/>
        <v/>
      </c>
      <c r="Y470" t="str">
        <f>IF(A470="","",ROUND((J470*4+K470*3+IF(I470="P467",5,IF(I470="P468",4,IF(I470="P469",3,2)))*2+IF(Z470="Sí",5,3))*2,0))</f>
        <v/>
      </c>
    </row>
    <row r="471" spans="2:25">
      <c r="B471" s="13"/>
      <c r="C471" s="14"/>
      <c r="D471" s="14"/>
      <c r="U471" s="13"/>
      <c r="V471" s="12"/>
      <c r="W471" t="str">
        <f t="shared" si="7"/>
        <v/>
      </c>
      <c r="Y471" t="str">
        <f>IF(A471="","",ROUND((J471*4+K471*3+IF(I471="P468",5,IF(I471="P469",4,IF(I471="P470",3,2)))*2+IF(Z471="Sí",5,3))*2,0))</f>
        <v/>
      </c>
    </row>
    <row r="472" spans="2:25">
      <c r="B472" s="13"/>
      <c r="C472" s="14"/>
      <c r="D472" s="14"/>
      <c r="U472" s="13"/>
      <c r="V472" s="12"/>
      <c r="W472" t="str">
        <f t="shared" si="7"/>
        <v/>
      </c>
      <c r="Y472" t="str">
        <f>IF(A472="","",ROUND((J472*4+K472*3+IF(I472="P469",5,IF(I472="P470",4,IF(I472="P471",3,2)))*2+IF(Z472="Sí",5,3))*2,0))</f>
        <v/>
      </c>
    </row>
    <row r="473" spans="2:25">
      <c r="B473" s="13"/>
      <c r="C473" s="14"/>
      <c r="D473" s="14"/>
      <c r="U473" s="13"/>
      <c r="V473" s="12"/>
      <c r="W473" t="str">
        <f t="shared" si="7"/>
        <v/>
      </c>
      <c r="Y473" t="str">
        <f>IF(A473="","",ROUND((J473*4+K473*3+IF(I473="P470",5,IF(I473="P471",4,IF(I473="P472",3,2)))*2+IF(Z473="Sí",5,3))*2,0))</f>
        <v/>
      </c>
    </row>
    <row r="474" spans="2:25">
      <c r="B474" s="13"/>
      <c r="C474" s="14"/>
      <c r="D474" s="14"/>
      <c r="U474" s="13"/>
      <c r="V474" s="12"/>
      <c r="W474" t="str">
        <f t="shared" si="7"/>
        <v/>
      </c>
      <c r="Y474" t="str">
        <f>IF(A474="","",ROUND((J474*4+K474*3+IF(I474="P471",5,IF(I474="P472",4,IF(I474="P473",3,2)))*2+IF(Z474="Sí",5,3))*2,0))</f>
        <v/>
      </c>
    </row>
    <row r="475" spans="2:25">
      <c r="B475" s="13"/>
      <c r="C475" s="14"/>
      <c r="D475" s="14"/>
      <c r="U475" s="13"/>
      <c r="V475" s="12"/>
      <c r="W475" t="str">
        <f t="shared" si="7"/>
        <v/>
      </c>
      <c r="Y475" t="str">
        <f>IF(A475="","",ROUND((J475*4+K475*3+IF(I475="P472",5,IF(I475="P473",4,IF(I475="P474",3,2)))*2+IF(Z475="Sí",5,3))*2,0))</f>
        <v/>
      </c>
    </row>
    <row r="476" spans="2:25">
      <c r="B476" s="13"/>
      <c r="C476" s="14"/>
      <c r="D476" s="14"/>
      <c r="U476" s="13"/>
      <c r="V476" s="12"/>
      <c r="W476" t="str">
        <f t="shared" si="7"/>
        <v/>
      </c>
      <c r="Y476" t="str">
        <f>IF(A476="","",ROUND((J476*4+K476*3+IF(I476="P473",5,IF(I476="P474",4,IF(I476="P475",3,2)))*2+IF(Z476="Sí",5,3))*2,0))</f>
        <v/>
      </c>
    </row>
    <row r="477" spans="2:25">
      <c r="B477" s="13"/>
      <c r="C477" s="14"/>
      <c r="D477" s="14"/>
      <c r="U477" s="13"/>
      <c r="V477" s="12"/>
      <c r="W477" t="str">
        <f t="shared" si="7"/>
        <v/>
      </c>
      <c r="Y477" t="str">
        <f>IF(A477="","",ROUND((J477*4+K477*3+IF(I477="P474",5,IF(I477="P475",4,IF(I477="P476",3,2)))*2+IF(Z477="Sí",5,3))*2,0))</f>
        <v/>
      </c>
    </row>
    <row r="478" spans="2:25">
      <c r="B478" s="13"/>
      <c r="C478" s="14"/>
      <c r="D478" s="14"/>
      <c r="U478" s="13"/>
      <c r="V478" s="12"/>
      <c r="W478" t="str">
        <f t="shared" si="7"/>
        <v/>
      </c>
      <c r="Y478" t="str">
        <f>IF(A478="","",ROUND((J478*4+K478*3+IF(I478="P475",5,IF(I478="P476",4,IF(I478="P477",3,2)))*2+IF(Z478="Sí",5,3))*2,0))</f>
        <v/>
      </c>
    </row>
    <row r="479" spans="2:25">
      <c r="B479" s="13"/>
      <c r="C479" s="14"/>
      <c r="D479" s="14"/>
      <c r="U479" s="13"/>
      <c r="V479" s="12"/>
      <c r="W479" t="str">
        <f t="shared" si="7"/>
        <v/>
      </c>
      <c r="Y479" t="str">
        <f>IF(A479="","",ROUND((J479*4+K479*3+IF(I479="P476",5,IF(I479="P477",4,IF(I479="P478",3,2)))*2+IF(Z479="Sí",5,3))*2,0))</f>
        <v/>
      </c>
    </row>
    <row r="480" spans="2:25">
      <c r="B480" s="13"/>
      <c r="C480" s="14"/>
      <c r="D480" s="14"/>
      <c r="U480" s="13"/>
      <c r="V480" s="12"/>
      <c r="W480" t="str">
        <f t="shared" si="7"/>
        <v/>
      </c>
      <c r="Y480" t="str">
        <f>IF(A480="","",ROUND((J480*4+K480*3+IF(I480="P477",5,IF(I480="P478",4,IF(I480="P479",3,2)))*2+IF(Z480="Sí",5,3))*2,0))</f>
        <v/>
      </c>
    </row>
    <row r="481" spans="2:25">
      <c r="B481" s="13"/>
      <c r="C481" s="14"/>
      <c r="D481" s="14"/>
      <c r="U481" s="13"/>
      <c r="V481" s="12"/>
      <c r="W481" t="str">
        <f t="shared" si="7"/>
        <v/>
      </c>
      <c r="Y481" t="str">
        <f>IF(A481="","",ROUND((J481*4+K481*3+IF(I481="P478",5,IF(I481="P479",4,IF(I481="P480",3,2)))*2+IF(Z481="Sí",5,3))*2,0))</f>
        <v/>
      </c>
    </row>
    <row r="482" spans="2:25">
      <c r="B482" s="13"/>
      <c r="C482" s="14"/>
      <c r="D482" s="14"/>
      <c r="U482" s="13"/>
      <c r="V482" s="12"/>
      <c r="W482" t="str">
        <f t="shared" si="7"/>
        <v/>
      </c>
      <c r="Y482" t="str">
        <f>IF(A482="","",ROUND((J482*4+K482*3+IF(I482="P479",5,IF(I482="P480",4,IF(I482="P481",3,2)))*2+IF(Z482="Sí",5,3))*2,0))</f>
        <v/>
      </c>
    </row>
    <row r="483" spans="2:25">
      <c r="B483" s="13"/>
      <c r="C483" s="14"/>
      <c r="D483" s="14"/>
      <c r="U483" s="13"/>
      <c r="V483" s="12"/>
      <c r="W483" t="str">
        <f t="shared" si="7"/>
        <v/>
      </c>
      <c r="Y483" t="str">
        <f>IF(A483="","",ROUND((J483*4+K483*3+IF(I483="P480",5,IF(I483="P481",4,IF(I483="P482",3,2)))*2+IF(Z483="Sí",5,3))*2,0))</f>
        <v/>
      </c>
    </row>
    <row r="484" spans="2:25">
      <c r="B484" s="13"/>
      <c r="C484" s="14"/>
      <c r="D484" s="14"/>
      <c r="U484" s="13"/>
      <c r="V484" s="12"/>
      <c r="W484" t="str">
        <f t="shared" si="7"/>
        <v/>
      </c>
      <c r="Y484" t="str">
        <f>IF(A484="","",ROUND((J484*4+K484*3+IF(I484="P481",5,IF(I484="P482",4,IF(I484="P483",3,2)))*2+IF(Z484="Sí",5,3))*2,0))</f>
        <v/>
      </c>
    </row>
    <row r="485" spans="2:25">
      <c r="B485" s="13"/>
      <c r="C485" s="14"/>
      <c r="D485" s="14"/>
      <c r="U485" s="13"/>
      <c r="V485" s="12"/>
      <c r="W485" t="str">
        <f t="shared" si="7"/>
        <v/>
      </c>
      <c r="Y485" t="str">
        <f>IF(A485="","",ROUND((J485*4+K485*3+IF(I485="P482",5,IF(I485="P483",4,IF(I485="P484",3,2)))*2+IF(Z485="Sí",5,3))*2,0))</f>
        <v/>
      </c>
    </row>
    <row r="486" spans="2:25">
      <c r="B486" s="13"/>
      <c r="C486" s="14"/>
      <c r="D486" s="14"/>
      <c r="U486" s="13"/>
      <c r="V486" s="12"/>
      <c r="W486" t="str">
        <f t="shared" si="7"/>
        <v/>
      </c>
      <c r="Y486" t="str">
        <f>IF(A486="","",ROUND((J486*4+K486*3+IF(I486="P483",5,IF(I486="P484",4,IF(I486="P485",3,2)))*2+IF(Z486="Sí",5,3))*2,0))</f>
        <v/>
      </c>
    </row>
    <row r="487" spans="2:25">
      <c r="B487" s="13"/>
      <c r="C487" s="14"/>
      <c r="D487" s="14"/>
      <c r="U487" s="13"/>
      <c r="V487" s="12"/>
      <c r="W487" t="str">
        <f t="shared" si="7"/>
        <v/>
      </c>
      <c r="Y487" t="str">
        <f>IF(A487="","",ROUND((J487*4+K487*3+IF(I487="P484",5,IF(I487="P485",4,IF(I487="P486",3,2)))*2+IF(Z487="Sí",5,3))*2,0))</f>
        <v/>
      </c>
    </row>
    <row r="488" spans="2:25">
      <c r="B488" s="13"/>
      <c r="C488" s="14"/>
      <c r="D488" s="14"/>
      <c r="U488" s="13"/>
      <c r="V488" s="12"/>
      <c r="W488" t="str">
        <f t="shared" si="7"/>
        <v/>
      </c>
      <c r="Y488" t="str">
        <f>IF(A488="","",ROUND((J488*4+K488*3+IF(I488="P485",5,IF(I488="P486",4,IF(I488="P487",3,2)))*2+IF(Z488="Sí",5,3))*2,0))</f>
        <v/>
      </c>
    </row>
    <row r="489" spans="2:25">
      <c r="B489" s="13"/>
      <c r="C489" s="14"/>
      <c r="D489" s="14"/>
      <c r="U489" s="13"/>
      <c r="V489" s="12"/>
      <c r="W489" t="str">
        <f t="shared" si="7"/>
        <v/>
      </c>
      <c r="Y489" t="str">
        <f>IF(A489="","",ROUND((J489*4+K489*3+IF(I489="P486",5,IF(I489="P487",4,IF(I489="P488",3,2)))*2+IF(Z489="Sí",5,3))*2,0))</f>
        <v/>
      </c>
    </row>
    <row r="490" spans="2:25">
      <c r="B490" s="13"/>
      <c r="C490" s="14"/>
      <c r="D490" s="14"/>
      <c r="U490" s="13"/>
      <c r="V490" s="12"/>
      <c r="W490" t="str">
        <f t="shared" si="7"/>
        <v/>
      </c>
      <c r="Y490" t="str">
        <f>IF(A490="","",ROUND((J490*4+K490*3+IF(I490="P487",5,IF(I490="P488",4,IF(I490="P489",3,2)))*2+IF(Z490="Sí",5,3))*2,0))</f>
        <v/>
      </c>
    </row>
    <row r="491" spans="2:25">
      <c r="B491" s="13"/>
      <c r="C491" s="14"/>
      <c r="D491" s="14"/>
      <c r="U491" s="13"/>
      <c r="V491" s="12"/>
      <c r="W491" t="str">
        <f t="shared" si="7"/>
        <v/>
      </c>
      <c r="Y491" t="str">
        <f>IF(A491="","",ROUND((J491*4+K491*3+IF(I491="P488",5,IF(I491="P489",4,IF(I491="P490",3,2)))*2+IF(Z491="Sí",5,3))*2,0))</f>
        <v/>
      </c>
    </row>
    <row r="492" spans="2:25">
      <c r="B492" s="13"/>
      <c r="C492" s="14"/>
      <c r="D492" s="14"/>
      <c r="U492" s="13"/>
      <c r="V492" s="12"/>
      <c r="W492" t="str">
        <f t="shared" si="7"/>
        <v/>
      </c>
      <c r="Y492" t="str">
        <f>IF(A492="","",ROUND((J492*4+K492*3+IF(I492="P489",5,IF(I492="P490",4,IF(I492="P491",3,2)))*2+IF(Z492="Sí",5,3))*2,0))</f>
        <v/>
      </c>
    </row>
    <row r="493" spans="2:25">
      <c r="B493" s="13"/>
      <c r="C493" s="14"/>
      <c r="D493" s="14"/>
      <c r="U493" s="13"/>
      <c r="V493" s="12"/>
      <c r="W493" t="str">
        <f t="shared" si="7"/>
        <v/>
      </c>
      <c r="Y493" t="str">
        <f>IF(A493="","",ROUND((J493*4+K493*3+IF(I493="P490",5,IF(I493="P491",4,IF(I493="P492",3,2)))*2+IF(Z493="Sí",5,3))*2,0))</f>
        <v/>
      </c>
    </row>
    <row r="494" spans="2:25">
      <c r="B494" s="13"/>
      <c r="C494" s="14"/>
      <c r="D494" s="14"/>
      <c r="U494" s="13"/>
      <c r="V494" s="12"/>
      <c r="W494" t="str">
        <f t="shared" si="7"/>
        <v/>
      </c>
      <c r="Y494" t="str">
        <f>IF(A494="","",ROUND((J494*4+K494*3+IF(I494="P491",5,IF(I494="P492",4,IF(I494="P493",3,2)))*2+IF(Z494="Sí",5,3))*2,0))</f>
        <v/>
      </c>
    </row>
    <row r="495" spans="2:25">
      <c r="B495" s="13"/>
      <c r="C495" s="14"/>
      <c r="D495" s="14"/>
      <c r="U495" s="13"/>
      <c r="V495" s="12"/>
      <c r="W495" t="str">
        <f t="shared" si="7"/>
        <v/>
      </c>
      <c r="Y495" t="str">
        <f>IF(A495="","",ROUND((J495*4+K495*3+IF(I495="P492",5,IF(I495="P493",4,IF(I495="P494",3,2)))*2+IF(Z495="Sí",5,3))*2,0))</f>
        <v/>
      </c>
    </row>
    <row r="496" spans="2:25">
      <c r="B496" s="13"/>
      <c r="C496" s="14"/>
      <c r="D496" s="14"/>
      <c r="U496" s="13"/>
      <c r="V496" s="12"/>
      <c r="W496" t="str">
        <f t="shared" si="7"/>
        <v/>
      </c>
      <c r="Y496" t="str">
        <f>IF(A496="","",ROUND((J496*4+K496*3+IF(I496="P493",5,IF(I496="P494",4,IF(I496="P495",3,2)))*2+IF(Z496="Sí",5,3))*2,0))</f>
        <v/>
      </c>
    </row>
    <row r="497" spans="2:25">
      <c r="B497" s="13"/>
      <c r="C497" s="14"/>
      <c r="D497" s="14"/>
      <c r="U497" s="13"/>
      <c r="V497" s="12"/>
      <c r="W497" t="str">
        <f t="shared" si="7"/>
        <v/>
      </c>
      <c r="Y497" t="str">
        <f>IF(A497="","",ROUND((J497*4+K497*3+IF(I497="P494",5,IF(I497="P495",4,IF(I497="P496",3,2)))*2+IF(Z497="Sí",5,3))*2,0))</f>
        <v/>
      </c>
    </row>
    <row r="498" spans="2:25">
      <c r="B498" s="13"/>
      <c r="C498" s="14"/>
      <c r="D498" s="14"/>
      <c r="U498" s="13"/>
      <c r="V498" s="12"/>
      <c r="W498" t="str">
        <f t="shared" si="7"/>
        <v/>
      </c>
      <c r="Y498" t="str">
        <f>IF(A498="","",ROUND((J498*4+K498*3+IF(I498="P495",5,IF(I498="P496",4,IF(I498="P497",3,2)))*2+IF(Z498="Sí",5,3))*2,0))</f>
        <v/>
      </c>
    </row>
    <row r="499" spans="2:25">
      <c r="B499" s="13"/>
      <c r="C499" s="14"/>
      <c r="D499" s="14"/>
      <c r="U499" s="13"/>
      <c r="V499" s="12"/>
      <c r="W499" t="str">
        <f t="shared" si="7"/>
        <v/>
      </c>
      <c r="Y499" t="str">
        <f>IF(A499="","",ROUND((J499*4+K499*3+IF(I499="P496",5,IF(I499="P497",4,IF(I499="P498",3,2)))*2+IF(Z499="Sí",5,3))*2,0))</f>
        <v/>
      </c>
    </row>
    <row r="500" spans="2:25">
      <c r="B500" s="13"/>
      <c r="C500" s="14"/>
      <c r="D500" s="14"/>
      <c r="U500" s="13"/>
      <c r="V500" s="12"/>
      <c r="W500" t="str">
        <f t="shared" si="7"/>
        <v/>
      </c>
      <c r="Y500" t="str">
        <f>IF(A500="","",ROUND((J500*4+K500*3+IF(I500="P497",5,IF(I500="P498",4,IF(I500="P499",3,2)))*2+IF(Z500="Sí",5,3))*2,0))</f>
        <v/>
      </c>
    </row>
  </sheetData>
  <mergeCells count="1">
    <mergeCell ref="A1:AB1"/>
  </mergeCells>
  <conditionalFormatting sqref="B4:AB500">
    <cfRule type="expression" dxfId="4" priority="4">
      <formula>AND($B4&lt;TODAY(),$M4&lt;&gt;"Hecho",$M4&lt;&gt;"Cancelada",$A4&lt;&gt;"")</formula>
    </cfRule>
  </conditionalFormatting>
  <conditionalFormatting sqref="M4:M500">
    <cfRule type="expression" dxfId="3" priority="2">
      <formula>M4="Hecho"</formula>
    </cfRule>
    <cfRule type="expression" dxfId="2" priority="3">
      <formula>M4="Bloqueada"</formula>
    </cfRule>
  </conditionalFormatting>
  <conditionalFormatting sqref="Y4:Y500">
    <cfRule type="colorScale" priority="1">
      <colorScale>
        <cfvo type="min"/>
        <cfvo type="percentile" val="50"/>
        <cfvo type="max"/>
        <color rgb="FFD9EAD3"/>
        <color rgb="FFFFF2CC"/>
        <color rgb="FFF4CCCC"/>
      </colorScale>
    </cfRule>
  </conditionalFormatting>
  <dataValidations count="7">
    <dataValidation type="list" sqref="E4:E500" xr:uid="{00000000-0002-0000-0200-000000000000}">
      <formula1>"Tarea,Reunión,Foco,Seguimiento,Reporte,Llamada,Decisión,Administrativo"</formula1>
    </dataValidation>
    <dataValidation type="list" sqref="I4:I500" xr:uid="{00000000-0002-0000-0200-000001000000}">
      <formula1>"P1,P2,P3,P4"</formula1>
    </dataValidation>
    <dataValidation type="list" sqref="J4:K500" xr:uid="{00000000-0002-0000-0200-000002000000}">
      <formula1>"1,2,3,4,5"</formula1>
    </dataValidation>
    <dataValidation type="list" sqref="L4:L500" xr:uid="{00000000-0002-0000-0200-000004000000}">
      <formula1>"Alta,Media,Baja"</formula1>
    </dataValidation>
    <dataValidation type="list" sqref="M4:M500" xr:uid="{00000000-0002-0000-0200-000005000000}">
      <formula1>"Pendiente,En curso,Bloqueada,Hecho,Cancelada,Delegada"</formula1>
    </dataValidation>
    <dataValidation type="list" sqref="N4:N500" xr:uid="{00000000-0002-0000-0200-000006000000}">
      <formula1>"Yo,Delegado,Equipo"</formula1>
    </dataValidation>
    <dataValidation type="list" sqref="O4:O500 Z4:Z500 R4:S500" xr:uid="{00000000-0002-0000-0200-000007000000}">
      <formula1>"Sí,No"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300"/>
  <sheetViews>
    <sheetView workbookViewId="0"/>
  </sheetViews>
  <sheetFormatPr baseColWidth="10" defaultColWidth="8.796875" defaultRowHeight="13.8"/>
  <cols>
    <col min="1" max="1" width="14" customWidth="1"/>
    <col min="2" max="2" width="10" customWidth="1"/>
    <col min="3" max="3" width="14" customWidth="1"/>
    <col min="4" max="4" width="22" customWidth="1"/>
    <col min="5" max="5" width="9" customWidth="1"/>
    <col min="6" max="6" width="13" customWidth="1"/>
    <col min="7" max="7" width="16" customWidth="1"/>
    <col min="8" max="8" width="36" customWidth="1"/>
    <col min="9" max="9" width="34" customWidth="1"/>
    <col min="10" max="10" width="16" customWidth="1"/>
    <col min="11" max="13" width="10" customWidth="1"/>
    <col min="14" max="15" width="13" customWidth="1"/>
    <col min="16" max="16" width="11" customWidth="1"/>
    <col min="17" max="17" width="10" customWidth="1"/>
    <col min="18" max="18" width="13" customWidth="1"/>
    <col min="19" max="20" width="14" customWidth="1"/>
    <col min="21" max="21" width="16" customWidth="1"/>
    <col min="22" max="22" width="34" customWidth="1"/>
  </cols>
  <sheetData>
    <row r="1" spans="1:22" ht="22.35" customHeight="1">
      <c r="A1" s="26" t="s">
        <v>134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</row>
    <row r="3" spans="1:22" ht="27.6">
      <c r="A3" s="1" t="s">
        <v>94</v>
      </c>
      <c r="B3" s="2" t="s">
        <v>135</v>
      </c>
      <c r="C3" s="2" t="s">
        <v>136</v>
      </c>
      <c r="D3" s="2" t="s">
        <v>137</v>
      </c>
      <c r="E3" s="2" t="s">
        <v>138</v>
      </c>
      <c r="F3" s="2" t="s">
        <v>139</v>
      </c>
      <c r="G3" s="2" t="s">
        <v>62</v>
      </c>
      <c r="H3" s="2" t="s">
        <v>85</v>
      </c>
      <c r="I3" s="2" t="s">
        <v>86</v>
      </c>
      <c r="J3" s="2" t="s">
        <v>140</v>
      </c>
      <c r="K3" s="2" t="s">
        <v>68</v>
      </c>
      <c r="L3" s="2" t="s">
        <v>141</v>
      </c>
      <c r="M3" s="2" t="s">
        <v>142</v>
      </c>
      <c r="N3" s="2" t="s">
        <v>102</v>
      </c>
      <c r="O3" s="2" t="s">
        <v>95</v>
      </c>
      <c r="P3" s="2" t="s">
        <v>72</v>
      </c>
      <c r="Q3" s="2" t="s">
        <v>96</v>
      </c>
      <c r="R3" s="2" t="s">
        <v>92</v>
      </c>
      <c r="S3" s="2" t="s">
        <v>143</v>
      </c>
      <c r="T3" s="2" t="s">
        <v>144</v>
      </c>
      <c r="U3" s="2" t="s">
        <v>145</v>
      </c>
      <c r="V3" s="3" t="s">
        <v>71</v>
      </c>
    </row>
    <row r="4" spans="1:22">
      <c r="A4" t="s">
        <v>112</v>
      </c>
      <c r="B4" t="s">
        <v>76</v>
      </c>
      <c r="C4" t="s">
        <v>146</v>
      </c>
      <c r="D4" t="s">
        <v>147</v>
      </c>
      <c r="E4" s="14">
        <v>0.29166666666666669</v>
      </c>
      <c r="F4">
        <v>15</v>
      </c>
      <c r="G4" t="s">
        <v>105</v>
      </c>
      <c r="H4" t="s">
        <v>106</v>
      </c>
      <c r="I4" t="s">
        <v>148</v>
      </c>
      <c r="K4" t="s">
        <v>108</v>
      </c>
      <c r="L4">
        <v>5</v>
      </c>
      <c r="M4">
        <v>5</v>
      </c>
      <c r="N4" t="s">
        <v>78</v>
      </c>
      <c r="O4">
        <v>10</v>
      </c>
      <c r="P4" t="s">
        <v>76</v>
      </c>
      <c r="Q4" t="s">
        <v>76</v>
      </c>
      <c r="R4" t="s">
        <v>111</v>
      </c>
      <c r="S4" s="13">
        <v>46255</v>
      </c>
      <c r="T4" s="13"/>
      <c r="U4" s="13"/>
      <c r="V4" t="s">
        <v>149</v>
      </c>
    </row>
    <row r="5" spans="1:22">
      <c r="A5" t="s">
        <v>119</v>
      </c>
      <c r="B5" t="s">
        <v>76</v>
      </c>
      <c r="C5" t="s">
        <v>146</v>
      </c>
      <c r="D5" t="s">
        <v>147</v>
      </c>
      <c r="E5" s="14">
        <v>0.3125</v>
      </c>
      <c r="F5">
        <v>90</v>
      </c>
      <c r="G5" t="s">
        <v>115</v>
      </c>
      <c r="H5" t="s">
        <v>116</v>
      </c>
      <c r="I5" t="s">
        <v>150</v>
      </c>
      <c r="K5" t="s">
        <v>108</v>
      </c>
      <c r="L5">
        <v>5</v>
      </c>
      <c r="M5">
        <v>4</v>
      </c>
      <c r="N5" t="s">
        <v>76</v>
      </c>
      <c r="O5">
        <v>10</v>
      </c>
      <c r="P5" t="s">
        <v>76</v>
      </c>
      <c r="Q5" t="s">
        <v>76</v>
      </c>
      <c r="R5" t="s">
        <v>111</v>
      </c>
      <c r="S5" s="13">
        <v>46255</v>
      </c>
      <c r="T5" s="13"/>
      <c r="U5" s="13"/>
      <c r="V5" t="s">
        <v>151</v>
      </c>
    </row>
    <row r="6" spans="1:22">
      <c r="A6" t="s">
        <v>127</v>
      </c>
      <c r="B6" t="s">
        <v>76</v>
      </c>
      <c r="C6" t="s">
        <v>146</v>
      </c>
      <c r="D6" t="s">
        <v>147</v>
      </c>
      <c r="E6" s="14">
        <v>0.48958333333333331</v>
      </c>
      <c r="F6">
        <v>15</v>
      </c>
      <c r="G6" t="s">
        <v>105</v>
      </c>
      <c r="H6" t="s">
        <v>123</v>
      </c>
      <c r="I6" t="s">
        <v>152</v>
      </c>
      <c r="K6" t="s">
        <v>77</v>
      </c>
      <c r="L6">
        <v>4</v>
      </c>
      <c r="M6">
        <v>3</v>
      </c>
      <c r="N6" t="s">
        <v>78</v>
      </c>
      <c r="O6">
        <v>5</v>
      </c>
      <c r="P6" t="s">
        <v>76</v>
      </c>
      <c r="Q6" t="s">
        <v>76</v>
      </c>
      <c r="R6" t="s">
        <v>111</v>
      </c>
      <c r="S6" s="13">
        <v>46255</v>
      </c>
      <c r="T6" s="13"/>
      <c r="U6" s="13"/>
      <c r="V6" t="s">
        <v>153</v>
      </c>
    </row>
    <row r="7" spans="1:22">
      <c r="A7" t="s">
        <v>132</v>
      </c>
      <c r="B7" t="s">
        <v>76</v>
      </c>
      <c r="C7" t="s">
        <v>146</v>
      </c>
      <c r="D7" t="s">
        <v>147</v>
      </c>
      <c r="E7" s="14">
        <v>0.72916666666666663</v>
      </c>
      <c r="F7">
        <v>15</v>
      </c>
      <c r="G7" t="s">
        <v>105</v>
      </c>
      <c r="H7" t="s">
        <v>130</v>
      </c>
      <c r="I7" t="s">
        <v>154</v>
      </c>
      <c r="K7" t="s">
        <v>108</v>
      </c>
      <c r="L7">
        <v>5</v>
      </c>
      <c r="M7">
        <v>4</v>
      </c>
      <c r="N7" t="s">
        <v>78</v>
      </c>
      <c r="O7">
        <v>10</v>
      </c>
      <c r="P7" t="s">
        <v>76</v>
      </c>
      <c r="Q7" t="s">
        <v>76</v>
      </c>
      <c r="R7" t="s">
        <v>111</v>
      </c>
      <c r="S7" s="13">
        <v>46255</v>
      </c>
      <c r="T7" s="13"/>
      <c r="U7" s="13"/>
      <c r="V7" t="s">
        <v>155</v>
      </c>
    </row>
    <row r="8" spans="1:22">
      <c r="A8" t="s">
        <v>156</v>
      </c>
      <c r="B8" t="s">
        <v>76</v>
      </c>
      <c r="C8" t="s">
        <v>157</v>
      </c>
      <c r="D8" t="s">
        <v>158</v>
      </c>
      <c r="E8" s="14">
        <v>0.6875</v>
      </c>
      <c r="F8">
        <v>45</v>
      </c>
      <c r="G8" t="s">
        <v>159</v>
      </c>
      <c r="H8" t="s">
        <v>160</v>
      </c>
      <c r="I8" t="s">
        <v>161</v>
      </c>
      <c r="K8" t="s">
        <v>108</v>
      </c>
      <c r="L8">
        <v>5</v>
      </c>
      <c r="M8">
        <v>4</v>
      </c>
      <c r="N8" t="s">
        <v>78</v>
      </c>
      <c r="O8">
        <v>30</v>
      </c>
      <c r="P8" t="s">
        <v>76</v>
      </c>
      <c r="Q8" t="s">
        <v>76</v>
      </c>
      <c r="R8" t="s">
        <v>111</v>
      </c>
      <c r="S8" s="13">
        <v>46255</v>
      </c>
      <c r="T8" s="13"/>
      <c r="U8" s="13"/>
      <c r="V8" t="s">
        <v>162</v>
      </c>
    </row>
    <row r="9" spans="1:22">
      <c r="A9" t="s">
        <v>163</v>
      </c>
      <c r="B9" t="s">
        <v>76</v>
      </c>
      <c r="C9" t="s">
        <v>164</v>
      </c>
      <c r="D9" t="s">
        <v>165</v>
      </c>
      <c r="E9" s="14">
        <v>0.33333333333333331</v>
      </c>
      <c r="F9">
        <v>60</v>
      </c>
      <c r="G9" t="s">
        <v>159</v>
      </c>
      <c r="H9" t="s">
        <v>166</v>
      </c>
      <c r="I9" t="s">
        <v>167</v>
      </c>
      <c r="K9" t="s">
        <v>108</v>
      </c>
      <c r="L9">
        <v>5</v>
      </c>
      <c r="M9">
        <v>4</v>
      </c>
      <c r="N9" t="s">
        <v>76</v>
      </c>
      <c r="O9">
        <v>60</v>
      </c>
      <c r="P9" t="s">
        <v>76</v>
      </c>
      <c r="Q9" t="s">
        <v>76</v>
      </c>
      <c r="R9" t="s">
        <v>111</v>
      </c>
      <c r="S9" s="13">
        <v>46266</v>
      </c>
      <c r="T9" s="13"/>
      <c r="U9" s="13"/>
      <c r="V9" t="s">
        <v>168</v>
      </c>
    </row>
    <row r="10" spans="1:22">
      <c r="E10" s="14"/>
      <c r="S10" s="13"/>
      <c r="T10" s="13"/>
      <c r="U10" s="13"/>
    </row>
    <row r="11" spans="1:22">
      <c r="E11" s="14"/>
      <c r="S11" s="13"/>
      <c r="T11" s="13"/>
      <c r="U11" s="13"/>
    </row>
    <row r="12" spans="1:22">
      <c r="E12" s="14"/>
      <c r="S12" s="13"/>
      <c r="T12" s="13"/>
      <c r="U12" s="13"/>
    </row>
    <row r="13" spans="1:22">
      <c r="E13" s="14"/>
      <c r="S13" s="13"/>
      <c r="T13" s="13"/>
      <c r="U13" s="13"/>
    </row>
    <row r="14" spans="1:22">
      <c r="E14" s="14"/>
      <c r="S14" s="13"/>
      <c r="T14" s="13"/>
      <c r="U14" s="13"/>
    </row>
    <row r="15" spans="1:22">
      <c r="E15" s="14"/>
      <c r="S15" s="13"/>
      <c r="T15" s="13"/>
      <c r="U15" s="13"/>
    </row>
    <row r="16" spans="1:22">
      <c r="E16" s="14"/>
      <c r="S16" s="13"/>
      <c r="T16" s="13"/>
      <c r="U16" s="13"/>
    </row>
    <row r="17" spans="5:21">
      <c r="E17" s="14"/>
      <c r="S17" s="13"/>
      <c r="T17" s="13"/>
      <c r="U17" s="13"/>
    </row>
    <row r="18" spans="5:21">
      <c r="E18" s="14"/>
      <c r="S18" s="13"/>
      <c r="T18" s="13"/>
      <c r="U18" s="13"/>
    </row>
    <row r="19" spans="5:21">
      <c r="E19" s="14"/>
      <c r="S19" s="13"/>
      <c r="T19" s="13"/>
      <c r="U19" s="13"/>
    </row>
    <row r="20" spans="5:21">
      <c r="E20" s="14"/>
      <c r="S20" s="13"/>
      <c r="T20" s="13"/>
      <c r="U20" s="13"/>
    </row>
    <row r="21" spans="5:21">
      <c r="E21" s="14"/>
      <c r="S21" s="13"/>
      <c r="T21" s="13"/>
      <c r="U21" s="13"/>
    </row>
    <row r="22" spans="5:21">
      <c r="E22" s="14"/>
      <c r="S22" s="13"/>
      <c r="T22" s="13"/>
      <c r="U22" s="13"/>
    </row>
    <row r="23" spans="5:21">
      <c r="E23" s="14"/>
      <c r="S23" s="13"/>
      <c r="T23" s="13"/>
      <c r="U23" s="13"/>
    </row>
    <row r="24" spans="5:21">
      <c r="E24" s="14"/>
      <c r="S24" s="13"/>
      <c r="T24" s="13"/>
      <c r="U24" s="13"/>
    </row>
    <row r="25" spans="5:21">
      <c r="E25" s="14"/>
      <c r="S25" s="13"/>
      <c r="T25" s="13"/>
      <c r="U25" s="13"/>
    </row>
    <row r="26" spans="5:21">
      <c r="E26" s="14"/>
      <c r="S26" s="13"/>
      <c r="T26" s="13"/>
      <c r="U26" s="13"/>
    </row>
    <row r="27" spans="5:21">
      <c r="E27" s="14"/>
      <c r="S27" s="13"/>
      <c r="T27" s="13"/>
      <c r="U27" s="13"/>
    </row>
    <row r="28" spans="5:21">
      <c r="E28" s="14"/>
      <c r="S28" s="13"/>
      <c r="T28" s="13"/>
      <c r="U28" s="13"/>
    </row>
    <row r="29" spans="5:21">
      <c r="E29" s="14"/>
      <c r="S29" s="13"/>
      <c r="T29" s="13"/>
      <c r="U29" s="13"/>
    </row>
    <row r="30" spans="5:21">
      <c r="E30" s="14"/>
      <c r="S30" s="13"/>
      <c r="T30" s="13"/>
      <c r="U30" s="13"/>
    </row>
    <row r="31" spans="5:21">
      <c r="E31" s="14"/>
      <c r="S31" s="13"/>
      <c r="T31" s="13"/>
      <c r="U31" s="13"/>
    </row>
    <row r="32" spans="5:21">
      <c r="E32" s="14"/>
      <c r="S32" s="13"/>
      <c r="T32" s="13"/>
      <c r="U32" s="13"/>
    </row>
    <row r="33" spans="5:21">
      <c r="E33" s="14"/>
      <c r="S33" s="13"/>
      <c r="T33" s="13"/>
      <c r="U33" s="13"/>
    </row>
    <row r="34" spans="5:21">
      <c r="E34" s="14"/>
      <c r="S34" s="13"/>
      <c r="T34" s="13"/>
      <c r="U34" s="13"/>
    </row>
    <row r="35" spans="5:21">
      <c r="E35" s="14"/>
      <c r="S35" s="13"/>
      <c r="T35" s="13"/>
      <c r="U35" s="13"/>
    </row>
    <row r="36" spans="5:21">
      <c r="E36" s="14"/>
      <c r="S36" s="13"/>
      <c r="T36" s="13"/>
      <c r="U36" s="13"/>
    </row>
    <row r="37" spans="5:21">
      <c r="E37" s="14"/>
      <c r="S37" s="13"/>
      <c r="T37" s="13"/>
      <c r="U37" s="13"/>
    </row>
    <row r="38" spans="5:21">
      <c r="E38" s="14"/>
      <c r="S38" s="13"/>
      <c r="T38" s="13"/>
      <c r="U38" s="13"/>
    </row>
    <row r="39" spans="5:21">
      <c r="E39" s="14"/>
      <c r="S39" s="13"/>
      <c r="T39" s="13"/>
      <c r="U39" s="13"/>
    </row>
    <row r="40" spans="5:21">
      <c r="E40" s="14"/>
      <c r="S40" s="13"/>
      <c r="T40" s="13"/>
      <c r="U40" s="13"/>
    </row>
    <row r="41" spans="5:21">
      <c r="E41" s="14"/>
      <c r="S41" s="13"/>
      <c r="T41" s="13"/>
      <c r="U41" s="13"/>
    </row>
    <row r="42" spans="5:21">
      <c r="E42" s="14"/>
      <c r="S42" s="13"/>
      <c r="T42" s="13"/>
      <c r="U42" s="13"/>
    </row>
    <row r="43" spans="5:21">
      <c r="E43" s="14"/>
      <c r="S43" s="13"/>
      <c r="T43" s="13"/>
      <c r="U43" s="13"/>
    </row>
    <row r="44" spans="5:21">
      <c r="E44" s="14"/>
      <c r="S44" s="13"/>
      <c r="T44" s="13"/>
      <c r="U44" s="13"/>
    </row>
    <row r="45" spans="5:21">
      <c r="E45" s="14"/>
      <c r="S45" s="13"/>
      <c r="T45" s="13"/>
      <c r="U45" s="13"/>
    </row>
    <row r="46" spans="5:21">
      <c r="E46" s="14"/>
      <c r="S46" s="13"/>
      <c r="T46" s="13"/>
      <c r="U46" s="13"/>
    </row>
    <row r="47" spans="5:21">
      <c r="E47" s="14"/>
      <c r="S47" s="13"/>
      <c r="T47" s="13"/>
      <c r="U47" s="13"/>
    </row>
    <row r="48" spans="5:21">
      <c r="E48" s="14"/>
      <c r="S48" s="13"/>
      <c r="T48" s="13"/>
      <c r="U48" s="13"/>
    </row>
    <row r="49" spans="5:21">
      <c r="E49" s="14"/>
      <c r="S49" s="13"/>
      <c r="T49" s="13"/>
      <c r="U49" s="13"/>
    </row>
    <row r="50" spans="5:21">
      <c r="E50" s="14"/>
      <c r="S50" s="13"/>
      <c r="T50" s="13"/>
      <c r="U50" s="13"/>
    </row>
    <row r="51" spans="5:21">
      <c r="E51" s="14"/>
      <c r="S51" s="13"/>
      <c r="T51" s="13"/>
      <c r="U51" s="13"/>
    </row>
    <row r="52" spans="5:21">
      <c r="E52" s="14"/>
      <c r="S52" s="13"/>
      <c r="T52" s="13"/>
      <c r="U52" s="13"/>
    </row>
    <row r="53" spans="5:21">
      <c r="E53" s="14"/>
      <c r="S53" s="13"/>
      <c r="T53" s="13"/>
      <c r="U53" s="13"/>
    </row>
    <row r="54" spans="5:21">
      <c r="E54" s="14"/>
      <c r="S54" s="13"/>
      <c r="T54" s="13"/>
      <c r="U54" s="13"/>
    </row>
    <row r="55" spans="5:21">
      <c r="E55" s="14"/>
      <c r="S55" s="13"/>
      <c r="T55" s="13"/>
      <c r="U55" s="13"/>
    </row>
    <row r="56" spans="5:21">
      <c r="E56" s="14"/>
      <c r="S56" s="13"/>
      <c r="T56" s="13"/>
      <c r="U56" s="13"/>
    </row>
    <row r="57" spans="5:21">
      <c r="E57" s="14"/>
      <c r="S57" s="13"/>
      <c r="T57" s="13"/>
      <c r="U57" s="13"/>
    </row>
    <row r="58" spans="5:21">
      <c r="E58" s="14"/>
      <c r="S58" s="13"/>
      <c r="T58" s="13"/>
      <c r="U58" s="13"/>
    </row>
    <row r="59" spans="5:21">
      <c r="E59" s="14"/>
      <c r="S59" s="13"/>
      <c r="T59" s="13"/>
      <c r="U59" s="13"/>
    </row>
    <row r="60" spans="5:21">
      <c r="E60" s="14"/>
      <c r="S60" s="13"/>
      <c r="T60" s="13"/>
      <c r="U60" s="13"/>
    </row>
    <row r="61" spans="5:21">
      <c r="E61" s="14"/>
      <c r="S61" s="13"/>
      <c r="T61" s="13"/>
      <c r="U61" s="13"/>
    </row>
    <row r="62" spans="5:21">
      <c r="E62" s="14"/>
      <c r="S62" s="13"/>
      <c r="T62" s="13"/>
      <c r="U62" s="13"/>
    </row>
    <row r="63" spans="5:21">
      <c r="E63" s="14"/>
      <c r="S63" s="13"/>
      <c r="T63" s="13"/>
      <c r="U63" s="13"/>
    </row>
    <row r="64" spans="5:21">
      <c r="E64" s="14"/>
      <c r="S64" s="13"/>
      <c r="T64" s="13"/>
      <c r="U64" s="13"/>
    </row>
    <row r="65" spans="5:21">
      <c r="E65" s="14"/>
      <c r="S65" s="13"/>
      <c r="T65" s="13"/>
      <c r="U65" s="13"/>
    </row>
    <row r="66" spans="5:21">
      <c r="E66" s="14"/>
      <c r="S66" s="13"/>
      <c r="T66" s="13"/>
      <c r="U66" s="13"/>
    </row>
    <row r="67" spans="5:21">
      <c r="E67" s="14"/>
      <c r="S67" s="13"/>
      <c r="T67" s="13"/>
      <c r="U67" s="13"/>
    </row>
    <row r="68" spans="5:21">
      <c r="E68" s="14"/>
      <c r="S68" s="13"/>
      <c r="T68" s="13"/>
      <c r="U68" s="13"/>
    </row>
    <row r="69" spans="5:21">
      <c r="E69" s="14"/>
      <c r="S69" s="13"/>
      <c r="T69" s="13"/>
      <c r="U69" s="13"/>
    </row>
    <row r="70" spans="5:21">
      <c r="E70" s="14"/>
      <c r="S70" s="13"/>
      <c r="T70" s="13"/>
      <c r="U70" s="13"/>
    </row>
    <row r="71" spans="5:21">
      <c r="E71" s="14"/>
      <c r="S71" s="13"/>
      <c r="T71" s="13"/>
      <c r="U71" s="13"/>
    </row>
    <row r="72" spans="5:21">
      <c r="E72" s="14"/>
      <c r="S72" s="13"/>
      <c r="T72" s="13"/>
      <c r="U72" s="13"/>
    </row>
    <row r="73" spans="5:21">
      <c r="E73" s="14"/>
      <c r="S73" s="13"/>
      <c r="T73" s="13"/>
      <c r="U73" s="13"/>
    </row>
    <row r="74" spans="5:21">
      <c r="E74" s="14"/>
      <c r="S74" s="13"/>
      <c r="T74" s="13"/>
      <c r="U74" s="13"/>
    </row>
    <row r="75" spans="5:21">
      <c r="E75" s="14"/>
      <c r="S75" s="13"/>
      <c r="T75" s="13"/>
      <c r="U75" s="13"/>
    </row>
    <row r="76" spans="5:21">
      <c r="E76" s="14"/>
      <c r="S76" s="13"/>
      <c r="T76" s="13"/>
      <c r="U76" s="13"/>
    </row>
    <row r="77" spans="5:21">
      <c r="E77" s="14"/>
      <c r="S77" s="13"/>
      <c r="T77" s="13"/>
      <c r="U77" s="13"/>
    </row>
    <row r="78" spans="5:21">
      <c r="E78" s="14"/>
      <c r="S78" s="13"/>
      <c r="T78" s="13"/>
      <c r="U78" s="13"/>
    </row>
    <row r="79" spans="5:21">
      <c r="E79" s="14"/>
      <c r="S79" s="13"/>
      <c r="T79" s="13"/>
      <c r="U79" s="13"/>
    </row>
    <row r="80" spans="5:21">
      <c r="E80" s="14"/>
      <c r="S80" s="13"/>
      <c r="T80" s="13"/>
      <c r="U80" s="13"/>
    </row>
    <row r="81" spans="5:21">
      <c r="E81" s="14"/>
      <c r="S81" s="13"/>
      <c r="T81" s="13"/>
      <c r="U81" s="13"/>
    </row>
    <row r="82" spans="5:21">
      <c r="E82" s="14"/>
      <c r="S82" s="13"/>
      <c r="T82" s="13"/>
      <c r="U82" s="13"/>
    </row>
    <row r="83" spans="5:21">
      <c r="E83" s="14"/>
      <c r="S83" s="13"/>
      <c r="T83" s="13"/>
      <c r="U83" s="13"/>
    </row>
    <row r="84" spans="5:21">
      <c r="E84" s="14"/>
      <c r="S84" s="13"/>
      <c r="T84" s="13"/>
      <c r="U84" s="13"/>
    </row>
    <row r="85" spans="5:21">
      <c r="E85" s="14"/>
      <c r="S85" s="13"/>
      <c r="T85" s="13"/>
      <c r="U85" s="13"/>
    </row>
    <row r="86" spans="5:21">
      <c r="E86" s="14"/>
      <c r="S86" s="13"/>
      <c r="T86" s="13"/>
      <c r="U86" s="13"/>
    </row>
    <row r="87" spans="5:21">
      <c r="E87" s="14"/>
      <c r="S87" s="13"/>
      <c r="T87" s="13"/>
      <c r="U87" s="13"/>
    </row>
    <row r="88" spans="5:21">
      <c r="E88" s="14"/>
      <c r="S88" s="13"/>
      <c r="T88" s="13"/>
      <c r="U88" s="13"/>
    </row>
    <row r="89" spans="5:21">
      <c r="E89" s="14"/>
      <c r="S89" s="13"/>
      <c r="T89" s="13"/>
      <c r="U89" s="13"/>
    </row>
    <row r="90" spans="5:21">
      <c r="E90" s="14"/>
      <c r="S90" s="13"/>
      <c r="T90" s="13"/>
      <c r="U90" s="13"/>
    </row>
    <row r="91" spans="5:21">
      <c r="E91" s="14"/>
      <c r="S91" s="13"/>
      <c r="T91" s="13"/>
      <c r="U91" s="13"/>
    </row>
    <row r="92" spans="5:21">
      <c r="E92" s="14"/>
      <c r="S92" s="13"/>
      <c r="T92" s="13"/>
      <c r="U92" s="13"/>
    </row>
    <row r="93" spans="5:21">
      <c r="E93" s="14"/>
      <c r="S93" s="13"/>
      <c r="T93" s="13"/>
      <c r="U93" s="13"/>
    </row>
    <row r="94" spans="5:21">
      <c r="E94" s="14"/>
      <c r="S94" s="13"/>
      <c r="T94" s="13"/>
      <c r="U94" s="13"/>
    </row>
    <row r="95" spans="5:21">
      <c r="E95" s="14"/>
      <c r="S95" s="13"/>
      <c r="T95" s="13"/>
      <c r="U95" s="13"/>
    </row>
    <row r="96" spans="5:21">
      <c r="E96" s="14"/>
      <c r="S96" s="13"/>
      <c r="T96" s="13"/>
      <c r="U96" s="13"/>
    </row>
    <row r="97" spans="5:21">
      <c r="E97" s="14"/>
      <c r="S97" s="13"/>
      <c r="T97" s="13"/>
      <c r="U97" s="13"/>
    </row>
    <row r="98" spans="5:21">
      <c r="E98" s="14"/>
      <c r="S98" s="13"/>
      <c r="T98" s="13"/>
      <c r="U98" s="13"/>
    </row>
    <row r="99" spans="5:21">
      <c r="E99" s="14"/>
      <c r="S99" s="13"/>
      <c r="T99" s="13"/>
      <c r="U99" s="13"/>
    </row>
    <row r="100" spans="5:21">
      <c r="E100" s="14"/>
      <c r="S100" s="13"/>
      <c r="T100" s="13"/>
      <c r="U100" s="13"/>
    </row>
    <row r="101" spans="5:21">
      <c r="E101" s="14"/>
      <c r="S101" s="13"/>
      <c r="T101" s="13"/>
      <c r="U101" s="13"/>
    </row>
    <row r="102" spans="5:21">
      <c r="E102" s="14"/>
      <c r="S102" s="13"/>
      <c r="T102" s="13"/>
      <c r="U102" s="13"/>
    </row>
    <row r="103" spans="5:21">
      <c r="E103" s="14"/>
      <c r="S103" s="13"/>
      <c r="T103" s="13"/>
      <c r="U103" s="13"/>
    </row>
    <row r="104" spans="5:21">
      <c r="E104" s="14"/>
      <c r="S104" s="13"/>
      <c r="T104" s="13"/>
      <c r="U104" s="13"/>
    </row>
    <row r="105" spans="5:21">
      <c r="E105" s="14"/>
      <c r="S105" s="13"/>
      <c r="T105" s="13"/>
      <c r="U105" s="13"/>
    </row>
    <row r="106" spans="5:21">
      <c r="E106" s="14"/>
      <c r="S106" s="13"/>
      <c r="T106" s="13"/>
      <c r="U106" s="13"/>
    </row>
    <row r="107" spans="5:21">
      <c r="E107" s="14"/>
      <c r="S107" s="13"/>
      <c r="T107" s="13"/>
      <c r="U107" s="13"/>
    </row>
    <row r="108" spans="5:21">
      <c r="E108" s="14"/>
      <c r="S108" s="13"/>
      <c r="T108" s="13"/>
      <c r="U108" s="13"/>
    </row>
    <row r="109" spans="5:21">
      <c r="E109" s="14"/>
      <c r="S109" s="13"/>
      <c r="T109" s="13"/>
      <c r="U109" s="13"/>
    </row>
    <row r="110" spans="5:21">
      <c r="E110" s="14"/>
      <c r="S110" s="13"/>
      <c r="T110" s="13"/>
      <c r="U110" s="13"/>
    </row>
    <row r="111" spans="5:21">
      <c r="E111" s="14"/>
      <c r="S111" s="13"/>
      <c r="T111" s="13"/>
      <c r="U111" s="13"/>
    </row>
    <row r="112" spans="5:21">
      <c r="E112" s="14"/>
      <c r="S112" s="13"/>
      <c r="T112" s="13"/>
      <c r="U112" s="13"/>
    </row>
    <row r="113" spans="5:21">
      <c r="E113" s="14"/>
      <c r="S113" s="13"/>
      <c r="T113" s="13"/>
      <c r="U113" s="13"/>
    </row>
    <row r="114" spans="5:21">
      <c r="E114" s="14"/>
      <c r="S114" s="13"/>
      <c r="T114" s="13"/>
      <c r="U114" s="13"/>
    </row>
    <row r="115" spans="5:21">
      <c r="E115" s="14"/>
      <c r="S115" s="13"/>
      <c r="T115" s="13"/>
      <c r="U115" s="13"/>
    </row>
    <row r="116" spans="5:21">
      <c r="E116" s="14"/>
      <c r="S116" s="13"/>
      <c r="T116" s="13"/>
      <c r="U116" s="13"/>
    </row>
    <row r="117" spans="5:21">
      <c r="E117" s="14"/>
      <c r="S117" s="13"/>
      <c r="T117" s="13"/>
      <c r="U117" s="13"/>
    </row>
    <row r="118" spans="5:21">
      <c r="E118" s="14"/>
      <c r="S118" s="13"/>
      <c r="T118" s="13"/>
      <c r="U118" s="13"/>
    </row>
    <row r="119" spans="5:21">
      <c r="E119" s="14"/>
      <c r="S119" s="13"/>
      <c r="T119" s="13"/>
      <c r="U119" s="13"/>
    </row>
    <row r="120" spans="5:21">
      <c r="E120" s="14"/>
      <c r="S120" s="13"/>
      <c r="T120" s="13"/>
      <c r="U120" s="13"/>
    </row>
    <row r="121" spans="5:21">
      <c r="E121" s="14"/>
      <c r="S121" s="13"/>
      <c r="T121" s="13"/>
      <c r="U121" s="13"/>
    </row>
    <row r="122" spans="5:21">
      <c r="E122" s="14"/>
      <c r="S122" s="13"/>
      <c r="T122" s="13"/>
      <c r="U122" s="13"/>
    </row>
    <row r="123" spans="5:21">
      <c r="E123" s="14"/>
      <c r="S123" s="13"/>
      <c r="T123" s="13"/>
      <c r="U123" s="13"/>
    </row>
    <row r="124" spans="5:21">
      <c r="E124" s="14"/>
      <c r="S124" s="13"/>
      <c r="T124" s="13"/>
      <c r="U124" s="13"/>
    </row>
    <row r="125" spans="5:21">
      <c r="E125" s="14"/>
      <c r="S125" s="13"/>
      <c r="T125" s="13"/>
      <c r="U125" s="13"/>
    </row>
    <row r="126" spans="5:21">
      <c r="E126" s="14"/>
      <c r="S126" s="13"/>
      <c r="T126" s="13"/>
      <c r="U126" s="13"/>
    </row>
    <row r="127" spans="5:21">
      <c r="E127" s="14"/>
      <c r="S127" s="13"/>
      <c r="T127" s="13"/>
      <c r="U127" s="13"/>
    </row>
    <row r="128" spans="5:21">
      <c r="E128" s="14"/>
      <c r="S128" s="13"/>
      <c r="T128" s="13"/>
      <c r="U128" s="13"/>
    </row>
    <row r="129" spans="5:21">
      <c r="E129" s="14"/>
      <c r="S129" s="13"/>
      <c r="T129" s="13"/>
      <c r="U129" s="13"/>
    </row>
    <row r="130" spans="5:21">
      <c r="E130" s="14"/>
      <c r="S130" s="13"/>
      <c r="T130" s="13"/>
      <c r="U130" s="13"/>
    </row>
    <row r="131" spans="5:21">
      <c r="E131" s="14"/>
      <c r="S131" s="13"/>
      <c r="T131" s="13"/>
      <c r="U131" s="13"/>
    </row>
    <row r="132" spans="5:21">
      <c r="E132" s="14"/>
      <c r="S132" s="13"/>
      <c r="T132" s="13"/>
      <c r="U132" s="13"/>
    </row>
    <row r="133" spans="5:21">
      <c r="E133" s="14"/>
      <c r="S133" s="13"/>
      <c r="T133" s="13"/>
      <c r="U133" s="13"/>
    </row>
    <row r="134" spans="5:21">
      <c r="E134" s="14"/>
      <c r="S134" s="13"/>
      <c r="T134" s="13"/>
      <c r="U134" s="13"/>
    </row>
    <row r="135" spans="5:21">
      <c r="E135" s="14"/>
      <c r="S135" s="13"/>
      <c r="T135" s="13"/>
      <c r="U135" s="13"/>
    </row>
    <row r="136" spans="5:21">
      <c r="E136" s="14"/>
      <c r="S136" s="13"/>
      <c r="T136" s="13"/>
      <c r="U136" s="13"/>
    </row>
    <row r="137" spans="5:21">
      <c r="E137" s="14"/>
      <c r="S137" s="13"/>
      <c r="T137" s="13"/>
      <c r="U137" s="13"/>
    </row>
    <row r="138" spans="5:21">
      <c r="E138" s="14"/>
      <c r="S138" s="13"/>
      <c r="T138" s="13"/>
      <c r="U138" s="13"/>
    </row>
    <row r="139" spans="5:21">
      <c r="E139" s="14"/>
      <c r="S139" s="13"/>
      <c r="T139" s="13"/>
      <c r="U139" s="13"/>
    </row>
    <row r="140" spans="5:21">
      <c r="E140" s="14"/>
      <c r="S140" s="13"/>
      <c r="T140" s="13"/>
      <c r="U140" s="13"/>
    </row>
    <row r="141" spans="5:21">
      <c r="E141" s="14"/>
      <c r="S141" s="13"/>
      <c r="T141" s="13"/>
      <c r="U141" s="13"/>
    </row>
    <row r="142" spans="5:21">
      <c r="E142" s="14"/>
      <c r="S142" s="13"/>
      <c r="T142" s="13"/>
      <c r="U142" s="13"/>
    </row>
    <row r="143" spans="5:21">
      <c r="E143" s="14"/>
      <c r="S143" s="13"/>
      <c r="T143" s="13"/>
      <c r="U143" s="13"/>
    </row>
    <row r="144" spans="5:21">
      <c r="E144" s="14"/>
      <c r="S144" s="13"/>
      <c r="T144" s="13"/>
      <c r="U144" s="13"/>
    </row>
    <row r="145" spans="5:21">
      <c r="E145" s="14"/>
      <c r="S145" s="13"/>
      <c r="T145" s="13"/>
      <c r="U145" s="13"/>
    </row>
    <row r="146" spans="5:21">
      <c r="E146" s="14"/>
      <c r="S146" s="13"/>
      <c r="T146" s="13"/>
      <c r="U146" s="13"/>
    </row>
    <row r="147" spans="5:21">
      <c r="E147" s="14"/>
      <c r="S147" s="13"/>
      <c r="T147" s="13"/>
      <c r="U147" s="13"/>
    </row>
    <row r="148" spans="5:21">
      <c r="E148" s="14"/>
      <c r="S148" s="13"/>
      <c r="T148" s="13"/>
      <c r="U148" s="13"/>
    </row>
    <row r="149" spans="5:21">
      <c r="E149" s="14"/>
      <c r="S149" s="13"/>
      <c r="T149" s="13"/>
      <c r="U149" s="13"/>
    </row>
    <row r="150" spans="5:21">
      <c r="E150" s="14"/>
      <c r="S150" s="13"/>
      <c r="T150" s="13"/>
      <c r="U150" s="13"/>
    </row>
    <row r="151" spans="5:21">
      <c r="E151" s="14"/>
      <c r="S151" s="13"/>
      <c r="T151" s="13"/>
      <c r="U151" s="13"/>
    </row>
    <row r="152" spans="5:21">
      <c r="E152" s="14"/>
      <c r="S152" s="13"/>
      <c r="T152" s="13"/>
      <c r="U152" s="13"/>
    </row>
    <row r="153" spans="5:21">
      <c r="E153" s="14"/>
      <c r="S153" s="13"/>
      <c r="T153" s="13"/>
      <c r="U153" s="13"/>
    </row>
    <row r="154" spans="5:21">
      <c r="E154" s="14"/>
      <c r="S154" s="13"/>
      <c r="T154" s="13"/>
      <c r="U154" s="13"/>
    </row>
    <row r="155" spans="5:21">
      <c r="E155" s="14"/>
      <c r="S155" s="13"/>
      <c r="T155" s="13"/>
      <c r="U155" s="13"/>
    </row>
    <row r="156" spans="5:21">
      <c r="E156" s="14"/>
      <c r="S156" s="13"/>
      <c r="T156" s="13"/>
      <c r="U156" s="13"/>
    </row>
    <row r="157" spans="5:21">
      <c r="E157" s="14"/>
      <c r="S157" s="13"/>
      <c r="T157" s="13"/>
      <c r="U157" s="13"/>
    </row>
    <row r="158" spans="5:21">
      <c r="E158" s="14"/>
      <c r="S158" s="13"/>
      <c r="T158" s="13"/>
      <c r="U158" s="13"/>
    </row>
    <row r="159" spans="5:21">
      <c r="E159" s="14"/>
      <c r="S159" s="13"/>
      <c r="T159" s="13"/>
      <c r="U159" s="13"/>
    </row>
    <row r="160" spans="5:21">
      <c r="E160" s="14"/>
      <c r="S160" s="13"/>
      <c r="T160" s="13"/>
      <c r="U160" s="13"/>
    </row>
    <row r="161" spans="5:21">
      <c r="E161" s="14"/>
      <c r="S161" s="13"/>
      <c r="T161" s="13"/>
      <c r="U161" s="13"/>
    </row>
    <row r="162" spans="5:21">
      <c r="E162" s="14"/>
      <c r="S162" s="13"/>
      <c r="T162" s="13"/>
      <c r="U162" s="13"/>
    </row>
    <row r="163" spans="5:21">
      <c r="E163" s="14"/>
      <c r="S163" s="13"/>
      <c r="T163" s="13"/>
      <c r="U163" s="13"/>
    </row>
    <row r="164" spans="5:21">
      <c r="E164" s="14"/>
      <c r="S164" s="13"/>
      <c r="T164" s="13"/>
      <c r="U164" s="13"/>
    </row>
    <row r="165" spans="5:21">
      <c r="E165" s="14"/>
      <c r="S165" s="13"/>
      <c r="T165" s="13"/>
      <c r="U165" s="13"/>
    </row>
    <row r="166" spans="5:21">
      <c r="E166" s="14"/>
      <c r="S166" s="13"/>
      <c r="T166" s="13"/>
      <c r="U166" s="13"/>
    </row>
    <row r="167" spans="5:21">
      <c r="E167" s="14"/>
      <c r="S167" s="13"/>
      <c r="T167" s="13"/>
      <c r="U167" s="13"/>
    </row>
    <row r="168" spans="5:21">
      <c r="E168" s="14"/>
      <c r="S168" s="13"/>
      <c r="T168" s="13"/>
      <c r="U168" s="13"/>
    </row>
    <row r="169" spans="5:21">
      <c r="E169" s="14"/>
      <c r="S169" s="13"/>
      <c r="T169" s="13"/>
      <c r="U169" s="13"/>
    </row>
    <row r="170" spans="5:21">
      <c r="E170" s="14"/>
      <c r="S170" s="13"/>
      <c r="T170" s="13"/>
      <c r="U170" s="13"/>
    </row>
    <row r="171" spans="5:21">
      <c r="E171" s="14"/>
      <c r="S171" s="13"/>
      <c r="T171" s="13"/>
      <c r="U171" s="13"/>
    </row>
    <row r="172" spans="5:21">
      <c r="E172" s="14"/>
      <c r="S172" s="13"/>
      <c r="T172" s="13"/>
      <c r="U172" s="13"/>
    </row>
    <row r="173" spans="5:21">
      <c r="E173" s="14"/>
      <c r="S173" s="13"/>
      <c r="T173" s="13"/>
      <c r="U173" s="13"/>
    </row>
    <row r="174" spans="5:21">
      <c r="E174" s="14"/>
      <c r="S174" s="13"/>
      <c r="T174" s="13"/>
      <c r="U174" s="13"/>
    </row>
    <row r="175" spans="5:21">
      <c r="E175" s="14"/>
      <c r="S175" s="13"/>
      <c r="T175" s="13"/>
      <c r="U175" s="13"/>
    </row>
    <row r="176" spans="5:21">
      <c r="E176" s="14"/>
      <c r="S176" s="13"/>
      <c r="T176" s="13"/>
      <c r="U176" s="13"/>
    </row>
    <row r="177" spans="5:21">
      <c r="E177" s="14"/>
      <c r="S177" s="13"/>
      <c r="T177" s="13"/>
      <c r="U177" s="13"/>
    </row>
    <row r="178" spans="5:21">
      <c r="E178" s="14"/>
      <c r="S178" s="13"/>
      <c r="T178" s="13"/>
      <c r="U178" s="13"/>
    </row>
    <row r="179" spans="5:21">
      <c r="E179" s="14"/>
      <c r="S179" s="13"/>
      <c r="T179" s="13"/>
      <c r="U179" s="13"/>
    </row>
    <row r="180" spans="5:21">
      <c r="E180" s="14"/>
      <c r="S180" s="13"/>
      <c r="T180" s="13"/>
      <c r="U180" s="13"/>
    </row>
    <row r="181" spans="5:21">
      <c r="E181" s="14"/>
      <c r="S181" s="13"/>
      <c r="T181" s="13"/>
      <c r="U181" s="13"/>
    </row>
    <row r="182" spans="5:21">
      <c r="E182" s="14"/>
      <c r="S182" s="13"/>
      <c r="T182" s="13"/>
      <c r="U182" s="13"/>
    </row>
    <row r="183" spans="5:21">
      <c r="E183" s="14"/>
      <c r="S183" s="13"/>
      <c r="T183" s="13"/>
      <c r="U183" s="13"/>
    </row>
    <row r="184" spans="5:21">
      <c r="E184" s="14"/>
      <c r="S184" s="13"/>
      <c r="T184" s="13"/>
      <c r="U184" s="13"/>
    </row>
    <row r="185" spans="5:21">
      <c r="E185" s="14"/>
      <c r="S185" s="13"/>
      <c r="T185" s="13"/>
      <c r="U185" s="13"/>
    </row>
    <row r="186" spans="5:21">
      <c r="E186" s="14"/>
      <c r="S186" s="13"/>
      <c r="T186" s="13"/>
      <c r="U186" s="13"/>
    </row>
    <row r="187" spans="5:21">
      <c r="E187" s="14"/>
      <c r="S187" s="13"/>
      <c r="T187" s="13"/>
      <c r="U187" s="13"/>
    </row>
    <row r="188" spans="5:21">
      <c r="E188" s="14"/>
      <c r="S188" s="13"/>
      <c r="T188" s="13"/>
      <c r="U188" s="13"/>
    </row>
    <row r="189" spans="5:21">
      <c r="E189" s="14"/>
      <c r="S189" s="13"/>
      <c r="T189" s="13"/>
      <c r="U189" s="13"/>
    </row>
    <row r="190" spans="5:21">
      <c r="E190" s="14"/>
      <c r="S190" s="13"/>
      <c r="T190" s="13"/>
      <c r="U190" s="13"/>
    </row>
    <row r="191" spans="5:21">
      <c r="E191" s="14"/>
      <c r="S191" s="13"/>
      <c r="T191" s="13"/>
      <c r="U191" s="13"/>
    </row>
    <row r="192" spans="5:21">
      <c r="E192" s="14"/>
      <c r="S192" s="13"/>
      <c r="T192" s="13"/>
      <c r="U192" s="13"/>
    </row>
    <row r="193" spans="5:21">
      <c r="E193" s="14"/>
      <c r="S193" s="13"/>
      <c r="T193" s="13"/>
      <c r="U193" s="13"/>
    </row>
    <row r="194" spans="5:21">
      <c r="E194" s="14"/>
      <c r="S194" s="13"/>
      <c r="T194" s="13"/>
      <c r="U194" s="13"/>
    </row>
    <row r="195" spans="5:21">
      <c r="E195" s="14"/>
      <c r="S195" s="13"/>
      <c r="T195" s="13"/>
      <c r="U195" s="13"/>
    </row>
    <row r="196" spans="5:21">
      <c r="E196" s="14"/>
      <c r="S196" s="13"/>
      <c r="T196" s="13"/>
      <c r="U196" s="13"/>
    </row>
    <row r="197" spans="5:21">
      <c r="E197" s="14"/>
      <c r="S197" s="13"/>
      <c r="T197" s="13"/>
      <c r="U197" s="13"/>
    </row>
    <row r="198" spans="5:21">
      <c r="E198" s="14"/>
      <c r="S198" s="13"/>
      <c r="T198" s="13"/>
      <c r="U198" s="13"/>
    </row>
    <row r="199" spans="5:21">
      <c r="E199" s="14"/>
      <c r="S199" s="13"/>
      <c r="T199" s="13"/>
      <c r="U199" s="13"/>
    </row>
    <row r="200" spans="5:21">
      <c r="E200" s="14"/>
      <c r="S200" s="13"/>
      <c r="T200" s="13"/>
      <c r="U200" s="13"/>
    </row>
    <row r="201" spans="5:21">
      <c r="E201" s="14"/>
      <c r="S201" s="13"/>
      <c r="T201" s="13"/>
      <c r="U201" s="13"/>
    </row>
    <row r="202" spans="5:21">
      <c r="E202" s="14"/>
      <c r="S202" s="13"/>
      <c r="T202" s="13"/>
      <c r="U202" s="13"/>
    </row>
    <row r="203" spans="5:21">
      <c r="E203" s="14"/>
      <c r="S203" s="13"/>
      <c r="T203" s="13"/>
      <c r="U203" s="13"/>
    </row>
    <row r="204" spans="5:21">
      <c r="E204" s="14"/>
      <c r="S204" s="13"/>
      <c r="T204" s="13"/>
      <c r="U204" s="13"/>
    </row>
    <row r="205" spans="5:21">
      <c r="E205" s="14"/>
      <c r="S205" s="13"/>
      <c r="T205" s="13"/>
      <c r="U205" s="13"/>
    </row>
    <row r="206" spans="5:21">
      <c r="E206" s="14"/>
      <c r="S206" s="13"/>
      <c r="T206" s="13"/>
      <c r="U206" s="13"/>
    </row>
    <row r="207" spans="5:21">
      <c r="E207" s="14"/>
      <c r="S207" s="13"/>
      <c r="T207" s="13"/>
      <c r="U207" s="13"/>
    </row>
    <row r="208" spans="5:21">
      <c r="E208" s="14"/>
      <c r="S208" s="13"/>
      <c r="T208" s="13"/>
      <c r="U208" s="13"/>
    </row>
    <row r="209" spans="5:21">
      <c r="E209" s="14"/>
      <c r="S209" s="13"/>
      <c r="T209" s="13"/>
      <c r="U209" s="13"/>
    </row>
    <row r="210" spans="5:21">
      <c r="E210" s="14"/>
      <c r="S210" s="13"/>
      <c r="T210" s="13"/>
      <c r="U210" s="13"/>
    </row>
    <row r="211" spans="5:21">
      <c r="E211" s="14"/>
      <c r="S211" s="13"/>
      <c r="T211" s="13"/>
      <c r="U211" s="13"/>
    </row>
    <row r="212" spans="5:21">
      <c r="E212" s="14"/>
      <c r="S212" s="13"/>
      <c r="T212" s="13"/>
      <c r="U212" s="13"/>
    </row>
    <row r="213" spans="5:21">
      <c r="E213" s="14"/>
      <c r="S213" s="13"/>
      <c r="T213" s="13"/>
      <c r="U213" s="13"/>
    </row>
    <row r="214" spans="5:21">
      <c r="E214" s="14"/>
      <c r="S214" s="13"/>
      <c r="T214" s="13"/>
      <c r="U214" s="13"/>
    </row>
    <row r="215" spans="5:21">
      <c r="E215" s="14"/>
      <c r="S215" s="13"/>
      <c r="T215" s="13"/>
      <c r="U215" s="13"/>
    </row>
    <row r="216" spans="5:21">
      <c r="E216" s="14"/>
      <c r="S216" s="13"/>
      <c r="T216" s="13"/>
      <c r="U216" s="13"/>
    </row>
    <row r="217" spans="5:21">
      <c r="E217" s="14"/>
      <c r="S217" s="13"/>
      <c r="T217" s="13"/>
      <c r="U217" s="13"/>
    </row>
    <row r="218" spans="5:21">
      <c r="E218" s="14"/>
      <c r="S218" s="13"/>
      <c r="T218" s="13"/>
      <c r="U218" s="13"/>
    </row>
    <row r="219" spans="5:21">
      <c r="E219" s="14"/>
      <c r="S219" s="13"/>
      <c r="T219" s="13"/>
      <c r="U219" s="13"/>
    </row>
    <row r="220" spans="5:21">
      <c r="E220" s="14"/>
      <c r="S220" s="13"/>
      <c r="T220" s="13"/>
      <c r="U220" s="13"/>
    </row>
    <row r="221" spans="5:21">
      <c r="E221" s="14"/>
      <c r="S221" s="13"/>
      <c r="T221" s="13"/>
      <c r="U221" s="13"/>
    </row>
    <row r="222" spans="5:21">
      <c r="E222" s="14"/>
      <c r="S222" s="13"/>
      <c r="T222" s="13"/>
      <c r="U222" s="13"/>
    </row>
    <row r="223" spans="5:21">
      <c r="E223" s="14"/>
      <c r="S223" s="13"/>
      <c r="T223" s="13"/>
      <c r="U223" s="13"/>
    </row>
    <row r="224" spans="5:21">
      <c r="E224" s="14"/>
      <c r="S224" s="13"/>
      <c r="T224" s="13"/>
      <c r="U224" s="13"/>
    </row>
    <row r="225" spans="5:21">
      <c r="E225" s="14"/>
      <c r="S225" s="13"/>
      <c r="T225" s="13"/>
      <c r="U225" s="13"/>
    </row>
    <row r="226" spans="5:21">
      <c r="E226" s="14"/>
      <c r="S226" s="13"/>
      <c r="T226" s="13"/>
      <c r="U226" s="13"/>
    </row>
    <row r="227" spans="5:21">
      <c r="E227" s="14"/>
      <c r="S227" s="13"/>
      <c r="T227" s="13"/>
      <c r="U227" s="13"/>
    </row>
    <row r="228" spans="5:21">
      <c r="E228" s="14"/>
      <c r="S228" s="13"/>
      <c r="T228" s="13"/>
      <c r="U228" s="13"/>
    </row>
    <row r="229" spans="5:21">
      <c r="E229" s="14"/>
      <c r="S229" s="13"/>
      <c r="T229" s="13"/>
      <c r="U229" s="13"/>
    </row>
    <row r="230" spans="5:21">
      <c r="E230" s="14"/>
      <c r="S230" s="13"/>
      <c r="T230" s="13"/>
      <c r="U230" s="13"/>
    </row>
    <row r="231" spans="5:21">
      <c r="E231" s="14"/>
      <c r="S231" s="13"/>
      <c r="T231" s="13"/>
      <c r="U231" s="13"/>
    </row>
    <row r="232" spans="5:21">
      <c r="E232" s="14"/>
      <c r="S232" s="13"/>
      <c r="T232" s="13"/>
      <c r="U232" s="13"/>
    </row>
    <row r="233" spans="5:21">
      <c r="E233" s="14"/>
      <c r="S233" s="13"/>
      <c r="T233" s="13"/>
      <c r="U233" s="13"/>
    </row>
    <row r="234" spans="5:21">
      <c r="E234" s="14"/>
      <c r="S234" s="13"/>
      <c r="T234" s="13"/>
      <c r="U234" s="13"/>
    </row>
    <row r="235" spans="5:21">
      <c r="E235" s="14"/>
      <c r="S235" s="13"/>
      <c r="T235" s="13"/>
      <c r="U235" s="13"/>
    </row>
    <row r="236" spans="5:21">
      <c r="E236" s="14"/>
      <c r="S236" s="13"/>
      <c r="T236" s="13"/>
      <c r="U236" s="13"/>
    </row>
    <row r="237" spans="5:21">
      <c r="E237" s="14"/>
      <c r="S237" s="13"/>
      <c r="T237" s="13"/>
      <c r="U237" s="13"/>
    </row>
    <row r="238" spans="5:21">
      <c r="E238" s="14"/>
      <c r="S238" s="13"/>
      <c r="T238" s="13"/>
      <c r="U238" s="13"/>
    </row>
    <row r="239" spans="5:21">
      <c r="E239" s="14"/>
      <c r="S239" s="13"/>
      <c r="T239" s="13"/>
      <c r="U239" s="13"/>
    </row>
    <row r="240" spans="5:21">
      <c r="E240" s="14"/>
      <c r="S240" s="13"/>
      <c r="T240" s="13"/>
      <c r="U240" s="13"/>
    </row>
    <row r="241" spans="5:21">
      <c r="E241" s="14"/>
      <c r="S241" s="13"/>
      <c r="T241" s="13"/>
      <c r="U241" s="13"/>
    </row>
    <row r="242" spans="5:21">
      <c r="E242" s="14"/>
      <c r="S242" s="13"/>
      <c r="T242" s="13"/>
      <c r="U242" s="13"/>
    </row>
    <row r="243" spans="5:21">
      <c r="E243" s="14"/>
      <c r="S243" s="13"/>
      <c r="T243" s="13"/>
      <c r="U243" s="13"/>
    </row>
    <row r="244" spans="5:21">
      <c r="E244" s="14"/>
      <c r="S244" s="13"/>
      <c r="T244" s="13"/>
      <c r="U244" s="13"/>
    </row>
    <row r="245" spans="5:21">
      <c r="E245" s="14"/>
      <c r="S245" s="13"/>
      <c r="T245" s="13"/>
      <c r="U245" s="13"/>
    </row>
    <row r="246" spans="5:21">
      <c r="E246" s="14"/>
      <c r="S246" s="13"/>
      <c r="T246" s="13"/>
      <c r="U246" s="13"/>
    </row>
    <row r="247" spans="5:21">
      <c r="E247" s="14"/>
      <c r="S247" s="13"/>
      <c r="T247" s="13"/>
      <c r="U247" s="13"/>
    </row>
    <row r="248" spans="5:21">
      <c r="E248" s="14"/>
      <c r="S248" s="13"/>
      <c r="T248" s="13"/>
      <c r="U248" s="13"/>
    </row>
    <row r="249" spans="5:21">
      <c r="E249" s="14"/>
      <c r="S249" s="13"/>
      <c r="T249" s="13"/>
      <c r="U249" s="13"/>
    </row>
    <row r="250" spans="5:21">
      <c r="E250" s="14"/>
      <c r="S250" s="13"/>
      <c r="T250" s="13"/>
      <c r="U250" s="13"/>
    </row>
    <row r="251" spans="5:21">
      <c r="E251" s="14"/>
      <c r="S251" s="13"/>
      <c r="T251" s="13"/>
      <c r="U251" s="13"/>
    </row>
    <row r="252" spans="5:21">
      <c r="E252" s="14"/>
      <c r="S252" s="13"/>
      <c r="T252" s="13"/>
      <c r="U252" s="13"/>
    </row>
    <row r="253" spans="5:21">
      <c r="E253" s="14"/>
      <c r="S253" s="13"/>
      <c r="T253" s="13"/>
      <c r="U253" s="13"/>
    </row>
    <row r="254" spans="5:21">
      <c r="E254" s="14"/>
      <c r="S254" s="13"/>
      <c r="T254" s="13"/>
      <c r="U254" s="13"/>
    </row>
    <row r="255" spans="5:21">
      <c r="E255" s="14"/>
      <c r="S255" s="13"/>
      <c r="T255" s="13"/>
      <c r="U255" s="13"/>
    </row>
    <row r="256" spans="5:21">
      <c r="E256" s="14"/>
      <c r="S256" s="13"/>
      <c r="T256" s="13"/>
      <c r="U256" s="13"/>
    </row>
    <row r="257" spans="5:21">
      <c r="E257" s="14"/>
      <c r="S257" s="13"/>
      <c r="T257" s="13"/>
      <c r="U257" s="13"/>
    </row>
    <row r="258" spans="5:21">
      <c r="E258" s="14"/>
      <c r="S258" s="13"/>
      <c r="T258" s="13"/>
      <c r="U258" s="13"/>
    </row>
    <row r="259" spans="5:21">
      <c r="E259" s="14"/>
      <c r="S259" s="13"/>
      <c r="T259" s="13"/>
      <c r="U259" s="13"/>
    </row>
    <row r="260" spans="5:21">
      <c r="E260" s="14"/>
      <c r="S260" s="13"/>
      <c r="T260" s="13"/>
      <c r="U260" s="13"/>
    </row>
    <row r="261" spans="5:21">
      <c r="E261" s="14"/>
      <c r="S261" s="13"/>
      <c r="T261" s="13"/>
      <c r="U261" s="13"/>
    </row>
    <row r="262" spans="5:21">
      <c r="E262" s="14"/>
      <c r="S262" s="13"/>
      <c r="T262" s="13"/>
      <c r="U262" s="13"/>
    </row>
    <row r="263" spans="5:21">
      <c r="E263" s="14"/>
      <c r="S263" s="13"/>
      <c r="T263" s="13"/>
      <c r="U263" s="13"/>
    </row>
    <row r="264" spans="5:21">
      <c r="E264" s="14"/>
      <c r="S264" s="13"/>
      <c r="T264" s="13"/>
      <c r="U264" s="13"/>
    </row>
    <row r="265" spans="5:21">
      <c r="E265" s="14"/>
      <c r="S265" s="13"/>
      <c r="T265" s="13"/>
      <c r="U265" s="13"/>
    </row>
    <row r="266" spans="5:21">
      <c r="E266" s="14"/>
      <c r="S266" s="13"/>
      <c r="T266" s="13"/>
      <c r="U266" s="13"/>
    </row>
    <row r="267" spans="5:21">
      <c r="E267" s="14"/>
      <c r="S267" s="13"/>
      <c r="T267" s="13"/>
      <c r="U267" s="13"/>
    </row>
    <row r="268" spans="5:21">
      <c r="E268" s="14"/>
      <c r="S268" s="13"/>
      <c r="T268" s="13"/>
      <c r="U268" s="13"/>
    </row>
    <row r="269" spans="5:21">
      <c r="E269" s="14"/>
      <c r="S269" s="13"/>
      <c r="T269" s="13"/>
      <c r="U269" s="13"/>
    </row>
    <row r="270" spans="5:21">
      <c r="E270" s="14"/>
      <c r="S270" s="13"/>
      <c r="T270" s="13"/>
      <c r="U270" s="13"/>
    </row>
    <row r="271" spans="5:21">
      <c r="E271" s="14"/>
      <c r="S271" s="13"/>
      <c r="T271" s="13"/>
      <c r="U271" s="13"/>
    </row>
    <row r="272" spans="5:21">
      <c r="E272" s="14"/>
      <c r="S272" s="13"/>
      <c r="T272" s="13"/>
      <c r="U272" s="13"/>
    </row>
    <row r="273" spans="5:21">
      <c r="E273" s="14"/>
      <c r="S273" s="13"/>
      <c r="T273" s="13"/>
      <c r="U273" s="13"/>
    </row>
    <row r="274" spans="5:21">
      <c r="E274" s="14"/>
      <c r="S274" s="13"/>
      <c r="T274" s="13"/>
      <c r="U274" s="13"/>
    </row>
    <row r="275" spans="5:21">
      <c r="E275" s="14"/>
      <c r="S275" s="13"/>
      <c r="T275" s="13"/>
      <c r="U275" s="13"/>
    </row>
    <row r="276" spans="5:21">
      <c r="E276" s="14"/>
      <c r="S276" s="13"/>
      <c r="T276" s="13"/>
      <c r="U276" s="13"/>
    </row>
    <row r="277" spans="5:21">
      <c r="E277" s="14"/>
      <c r="S277" s="13"/>
      <c r="T277" s="13"/>
      <c r="U277" s="13"/>
    </row>
    <row r="278" spans="5:21">
      <c r="E278" s="14"/>
      <c r="S278" s="13"/>
      <c r="T278" s="13"/>
      <c r="U278" s="13"/>
    </row>
    <row r="279" spans="5:21">
      <c r="E279" s="14"/>
      <c r="S279" s="13"/>
      <c r="T279" s="13"/>
      <c r="U279" s="13"/>
    </row>
    <row r="280" spans="5:21">
      <c r="E280" s="14"/>
      <c r="S280" s="13"/>
      <c r="T280" s="13"/>
      <c r="U280" s="13"/>
    </row>
    <row r="281" spans="5:21">
      <c r="E281" s="14"/>
      <c r="S281" s="13"/>
      <c r="T281" s="13"/>
      <c r="U281" s="13"/>
    </row>
    <row r="282" spans="5:21">
      <c r="E282" s="14"/>
      <c r="S282" s="13"/>
      <c r="T282" s="13"/>
      <c r="U282" s="13"/>
    </row>
    <row r="283" spans="5:21">
      <c r="E283" s="14"/>
      <c r="S283" s="13"/>
      <c r="T283" s="13"/>
      <c r="U283" s="13"/>
    </row>
    <row r="284" spans="5:21">
      <c r="E284" s="14"/>
      <c r="S284" s="13"/>
      <c r="T284" s="13"/>
      <c r="U284" s="13"/>
    </row>
    <row r="285" spans="5:21">
      <c r="E285" s="14"/>
      <c r="S285" s="13"/>
      <c r="T285" s="13"/>
      <c r="U285" s="13"/>
    </row>
    <row r="286" spans="5:21">
      <c r="E286" s="14"/>
      <c r="S286" s="13"/>
      <c r="T286" s="13"/>
      <c r="U286" s="13"/>
    </row>
    <row r="287" spans="5:21">
      <c r="E287" s="14"/>
      <c r="S287" s="13"/>
      <c r="T287" s="13"/>
      <c r="U287" s="13"/>
    </row>
    <row r="288" spans="5:21">
      <c r="E288" s="14"/>
      <c r="S288" s="13"/>
      <c r="T288" s="13"/>
      <c r="U288" s="13"/>
    </row>
    <row r="289" spans="5:21">
      <c r="E289" s="14"/>
      <c r="S289" s="13"/>
      <c r="T289" s="13"/>
      <c r="U289" s="13"/>
    </row>
    <row r="290" spans="5:21">
      <c r="E290" s="14"/>
      <c r="S290" s="13"/>
      <c r="T290" s="13"/>
      <c r="U290" s="13"/>
    </row>
    <row r="291" spans="5:21">
      <c r="E291" s="14"/>
      <c r="S291" s="13"/>
      <c r="T291" s="13"/>
      <c r="U291" s="13"/>
    </row>
    <row r="292" spans="5:21">
      <c r="E292" s="14"/>
      <c r="S292" s="13"/>
      <c r="T292" s="13"/>
      <c r="U292" s="13"/>
    </row>
    <row r="293" spans="5:21">
      <c r="E293" s="14"/>
      <c r="S293" s="13"/>
      <c r="T293" s="13"/>
      <c r="U293" s="13"/>
    </row>
    <row r="294" spans="5:21">
      <c r="E294" s="14"/>
      <c r="S294" s="13"/>
      <c r="T294" s="13"/>
      <c r="U294" s="13"/>
    </row>
    <row r="295" spans="5:21">
      <c r="E295" s="14"/>
      <c r="S295" s="13"/>
      <c r="T295" s="13"/>
      <c r="U295" s="13"/>
    </row>
    <row r="296" spans="5:21">
      <c r="E296" s="14"/>
      <c r="S296" s="13"/>
      <c r="T296" s="13"/>
      <c r="U296" s="13"/>
    </row>
    <row r="297" spans="5:21">
      <c r="E297" s="14"/>
      <c r="S297" s="13"/>
      <c r="T297" s="13"/>
      <c r="U297" s="13"/>
    </row>
    <row r="298" spans="5:21">
      <c r="E298" s="14"/>
      <c r="S298" s="13"/>
      <c r="T298" s="13"/>
      <c r="U298" s="13"/>
    </row>
    <row r="299" spans="5:21">
      <c r="E299" s="14"/>
      <c r="S299" s="13"/>
      <c r="T299" s="13"/>
      <c r="U299" s="13"/>
    </row>
    <row r="300" spans="5:21">
      <c r="E300" s="14"/>
      <c r="S300" s="13"/>
      <c r="T300" s="13"/>
      <c r="U300" s="13"/>
    </row>
  </sheetData>
  <mergeCells count="1">
    <mergeCell ref="A1:V1"/>
  </mergeCells>
  <dataValidations count="6">
    <dataValidation type="list" sqref="B4:B300 P4:Q300 N4:N300" xr:uid="{00000000-0002-0000-0300-000000000000}">
      <formula1>"Sí,No"</formula1>
    </dataValidation>
    <dataValidation type="list" sqref="C4:C300" xr:uid="{00000000-0002-0000-0300-000001000000}">
      <formula1>"DIARIA,LABORABLES,SEMANAL,MENSUAL,TRIMESTRAL"</formula1>
    </dataValidation>
    <dataValidation type="list" sqref="G4:G300" xr:uid="{00000000-0002-0000-0300-000002000000}">
      <formula1>"Tarea,Reunión,Foco,Seguimiento,Reporte,Llamada,Decisión,Administrativo"</formula1>
    </dataValidation>
    <dataValidation type="list" sqref="K4:K300" xr:uid="{00000000-0002-0000-0300-000003000000}">
      <formula1>"P1,P2,P3,P4"</formula1>
    </dataValidation>
    <dataValidation type="list" sqref="L4:M300" xr:uid="{00000000-0002-0000-0300-000004000000}">
      <formula1>"1,2,3,4,5"</formula1>
    </dataValidation>
    <dataValidation type="list" sqref="R4:R300" xr:uid="{00000000-0002-0000-0300-000009000000}">
      <formula1>"Yo,Delegado,Equipo"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200"/>
  <sheetViews>
    <sheetView workbookViewId="0"/>
  </sheetViews>
  <sheetFormatPr baseColWidth="10" defaultColWidth="8.796875" defaultRowHeight="13.8"/>
  <cols>
    <col min="1" max="1" width="13" customWidth="1"/>
    <col min="2" max="2" width="9" customWidth="1"/>
    <col min="3" max="3" width="32" customWidth="1"/>
    <col min="4" max="4" width="13" customWidth="1"/>
    <col min="5" max="5" width="15" customWidth="1"/>
    <col min="6" max="6" width="9" customWidth="1"/>
    <col min="7" max="7" width="13" customWidth="1"/>
    <col min="8" max="8" width="36" customWidth="1"/>
    <col min="9" max="9" width="38" customWidth="1"/>
    <col min="10" max="10" width="14" customWidth="1"/>
    <col min="11" max="11" width="26" customWidth="1"/>
    <col min="12" max="13" width="24" customWidth="1"/>
    <col min="14" max="14" width="16" customWidth="1"/>
    <col min="15" max="17" width="14" customWidth="1"/>
    <col min="18" max="18" width="16" customWidth="1"/>
    <col min="19" max="19" width="12" customWidth="1"/>
    <col min="20" max="20" width="10" customWidth="1"/>
    <col min="21" max="21" width="34" customWidth="1"/>
  </cols>
  <sheetData>
    <row r="1" spans="1:21" ht="22.35" customHeight="1">
      <c r="A1" s="26" t="s">
        <v>169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</row>
    <row r="3" spans="1:21" ht="27.6">
      <c r="A3" s="1" t="s">
        <v>170</v>
      </c>
      <c r="B3" s="2" t="s">
        <v>171</v>
      </c>
      <c r="C3" s="2" t="s">
        <v>172</v>
      </c>
      <c r="D3" s="2" t="s">
        <v>173</v>
      </c>
      <c r="E3" s="2" t="s">
        <v>137</v>
      </c>
      <c r="F3" s="2" t="s">
        <v>138</v>
      </c>
      <c r="G3" s="2" t="s">
        <v>139</v>
      </c>
      <c r="H3" s="2" t="s">
        <v>174</v>
      </c>
      <c r="I3" s="2" t="s">
        <v>175</v>
      </c>
      <c r="J3" s="2" t="s">
        <v>176</v>
      </c>
      <c r="K3" s="2" t="s">
        <v>177</v>
      </c>
      <c r="L3" s="2" t="s">
        <v>178</v>
      </c>
      <c r="M3" s="2" t="s">
        <v>179</v>
      </c>
      <c r="N3" s="2" t="s">
        <v>180</v>
      </c>
      <c r="O3" s="2" t="s">
        <v>181</v>
      </c>
      <c r="P3" s="2" t="s">
        <v>182</v>
      </c>
      <c r="Q3" s="2" t="s">
        <v>183</v>
      </c>
      <c r="R3" s="2" t="s">
        <v>184</v>
      </c>
      <c r="S3" s="2" t="s">
        <v>185</v>
      </c>
      <c r="T3" s="2" t="s">
        <v>96</v>
      </c>
      <c r="U3" s="3" t="s">
        <v>71</v>
      </c>
    </row>
    <row r="4" spans="1:21">
      <c r="A4" t="s">
        <v>186</v>
      </c>
      <c r="B4" t="s">
        <v>78</v>
      </c>
      <c r="C4" t="s">
        <v>187</v>
      </c>
      <c r="D4" t="s">
        <v>188</v>
      </c>
      <c r="E4" t="s">
        <v>146</v>
      </c>
      <c r="F4" s="14">
        <v>0.33333333333333331</v>
      </c>
      <c r="G4">
        <v>15</v>
      </c>
      <c r="H4" t="s">
        <v>189</v>
      </c>
      <c r="I4" t="s">
        <v>190</v>
      </c>
      <c r="J4" t="s">
        <v>111</v>
      </c>
      <c r="K4" t="s">
        <v>191</v>
      </c>
      <c r="O4" s="13"/>
      <c r="P4" s="13"/>
      <c r="S4" t="s">
        <v>76</v>
      </c>
      <c r="T4" t="s">
        <v>76</v>
      </c>
      <c r="U4" t="s">
        <v>192</v>
      </c>
    </row>
    <row r="5" spans="1:21">
      <c r="A5" t="s">
        <v>193</v>
      </c>
      <c r="B5" t="s">
        <v>78</v>
      </c>
      <c r="C5" t="s">
        <v>194</v>
      </c>
      <c r="D5" t="s">
        <v>157</v>
      </c>
      <c r="E5" t="s">
        <v>158</v>
      </c>
      <c r="F5" s="14">
        <v>0.64583333333333337</v>
      </c>
      <c r="G5">
        <v>45</v>
      </c>
      <c r="H5" t="s">
        <v>195</v>
      </c>
      <c r="I5" t="s">
        <v>196</v>
      </c>
      <c r="J5" t="s">
        <v>111</v>
      </c>
      <c r="K5" t="s">
        <v>191</v>
      </c>
      <c r="O5" s="13"/>
      <c r="P5" s="13"/>
      <c r="S5" t="s">
        <v>76</v>
      </c>
      <c r="T5" t="s">
        <v>76</v>
      </c>
    </row>
    <row r="6" spans="1:21">
      <c r="A6" t="s">
        <v>197</v>
      </c>
      <c r="B6" t="s">
        <v>78</v>
      </c>
      <c r="C6" t="s">
        <v>198</v>
      </c>
      <c r="D6" t="s">
        <v>157</v>
      </c>
      <c r="E6" t="s">
        <v>199</v>
      </c>
      <c r="F6" s="14">
        <v>0.58333333333333337</v>
      </c>
      <c r="G6">
        <v>30</v>
      </c>
      <c r="H6" t="s">
        <v>200</v>
      </c>
      <c r="I6" t="s">
        <v>201</v>
      </c>
      <c r="J6" t="s">
        <v>111</v>
      </c>
      <c r="K6" t="s">
        <v>202</v>
      </c>
      <c r="O6" s="13"/>
      <c r="P6" s="13"/>
      <c r="S6" t="s">
        <v>76</v>
      </c>
      <c r="T6" t="s">
        <v>76</v>
      </c>
    </row>
    <row r="7" spans="1:21">
      <c r="A7" t="s">
        <v>203</v>
      </c>
      <c r="B7" t="s">
        <v>78</v>
      </c>
      <c r="C7" t="s">
        <v>204</v>
      </c>
      <c r="D7" t="s">
        <v>164</v>
      </c>
      <c r="E7" t="s">
        <v>165</v>
      </c>
      <c r="F7" s="14">
        <v>0.375</v>
      </c>
      <c r="G7">
        <v>60</v>
      </c>
      <c r="H7" t="s">
        <v>205</v>
      </c>
      <c r="I7" t="s">
        <v>206</v>
      </c>
      <c r="J7" t="s">
        <v>111</v>
      </c>
      <c r="K7" t="s">
        <v>207</v>
      </c>
      <c r="O7" s="13"/>
      <c r="P7" s="13"/>
      <c r="S7" t="s">
        <v>76</v>
      </c>
      <c r="T7" t="s">
        <v>76</v>
      </c>
    </row>
    <row r="8" spans="1:21">
      <c r="F8" s="14"/>
      <c r="O8" s="13"/>
      <c r="P8" s="13"/>
    </row>
    <row r="9" spans="1:21">
      <c r="F9" s="14"/>
      <c r="O9" s="13"/>
      <c r="P9" s="13"/>
    </row>
    <row r="10" spans="1:21">
      <c r="F10" s="14"/>
      <c r="O10" s="13"/>
      <c r="P10" s="13"/>
    </row>
    <row r="11" spans="1:21">
      <c r="F11" s="14"/>
      <c r="O11" s="13"/>
      <c r="P11" s="13"/>
    </row>
    <row r="12" spans="1:21">
      <c r="F12" s="14"/>
      <c r="O12" s="13"/>
      <c r="P12" s="13"/>
    </row>
    <row r="13" spans="1:21">
      <c r="F13" s="14"/>
      <c r="O13" s="13"/>
      <c r="P13" s="13"/>
    </row>
    <row r="14" spans="1:21">
      <c r="F14" s="14"/>
      <c r="O14" s="13"/>
      <c r="P14" s="13"/>
    </row>
    <row r="15" spans="1:21">
      <c r="F15" s="14"/>
      <c r="O15" s="13"/>
      <c r="P15" s="13"/>
    </row>
    <row r="16" spans="1:21">
      <c r="F16" s="14"/>
      <c r="O16" s="13"/>
      <c r="P16" s="13"/>
    </row>
    <row r="17" spans="6:16">
      <c r="F17" s="14"/>
      <c r="O17" s="13"/>
      <c r="P17" s="13"/>
    </row>
    <row r="18" spans="6:16">
      <c r="F18" s="14"/>
      <c r="O18" s="13"/>
      <c r="P18" s="13"/>
    </row>
    <row r="19" spans="6:16">
      <c r="F19" s="14"/>
      <c r="O19" s="13"/>
      <c r="P19" s="13"/>
    </row>
    <row r="20" spans="6:16">
      <c r="F20" s="14"/>
      <c r="O20" s="13"/>
      <c r="P20" s="13"/>
    </row>
    <row r="21" spans="6:16">
      <c r="F21" s="14"/>
      <c r="O21" s="13"/>
      <c r="P21" s="13"/>
    </row>
    <row r="22" spans="6:16">
      <c r="F22" s="14"/>
      <c r="O22" s="13"/>
      <c r="P22" s="13"/>
    </row>
    <row r="23" spans="6:16">
      <c r="F23" s="14"/>
      <c r="O23" s="13"/>
      <c r="P23" s="13"/>
    </row>
    <row r="24" spans="6:16">
      <c r="F24" s="14"/>
      <c r="O24" s="13"/>
      <c r="P24" s="13"/>
    </row>
    <row r="25" spans="6:16">
      <c r="F25" s="14"/>
      <c r="O25" s="13"/>
      <c r="P25" s="13"/>
    </row>
    <row r="26" spans="6:16">
      <c r="F26" s="14"/>
      <c r="O26" s="13"/>
      <c r="P26" s="13"/>
    </row>
    <row r="27" spans="6:16">
      <c r="F27" s="14"/>
      <c r="O27" s="13"/>
      <c r="P27" s="13"/>
    </row>
    <row r="28" spans="6:16">
      <c r="F28" s="14"/>
      <c r="O28" s="13"/>
      <c r="P28" s="13"/>
    </row>
    <row r="29" spans="6:16">
      <c r="F29" s="14"/>
      <c r="O29" s="13"/>
      <c r="P29" s="13"/>
    </row>
    <row r="30" spans="6:16">
      <c r="F30" s="14"/>
      <c r="O30" s="13"/>
      <c r="P30" s="13"/>
    </row>
    <row r="31" spans="6:16">
      <c r="F31" s="14"/>
      <c r="O31" s="13"/>
      <c r="P31" s="13"/>
    </row>
    <row r="32" spans="6:16">
      <c r="F32" s="14"/>
      <c r="O32" s="13"/>
      <c r="P32" s="13"/>
    </row>
    <row r="33" spans="6:16">
      <c r="F33" s="14"/>
      <c r="O33" s="13"/>
      <c r="P33" s="13"/>
    </row>
    <row r="34" spans="6:16">
      <c r="F34" s="14"/>
      <c r="O34" s="13"/>
      <c r="P34" s="13"/>
    </row>
    <row r="35" spans="6:16">
      <c r="F35" s="14"/>
      <c r="O35" s="13"/>
      <c r="P35" s="13"/>
    </row>
    <row r="36" spans="6:16">
      <c r="F36" s="14"/>
      <c r="O36" s="13"/>
      <c r="P36" s="13"/>
    </row>
    <row r="37" spans="6:16">
      <c r="F37" s="14"/>
      <c r="O37" s="13"/>
      <c r="P37" s="13"/>
    </row>
    <row r="38" spans="6:16">
      <c r="F38" s="14"/>
      <c r="O38" s="13"/>
      <c r="P38" s="13"/>
    </row>
    <row r="39" spans="6:16">
      <c r="F39" s="14"/>
      <c r="O39" s="13"/>
      <c r="P39" s="13"/>
    </row>
    <row r="40" spans="6:16">
      <c r="F40" s="14"/>
      <c r="O40" s="13"/>
      <c r="P40" s="13"/>
    </row>
    <row r="41" spans="6:16">
      <c r="F41" s="14"/>
      <c r="O41" s="13"/>
      <c r="P41" s="13"/>
    </row>
    <row r="42" spans="6:16">
      <c r="F42" s="14"/>
      <c r="O42" s="13"/>
      <c r="P42" s="13"/>
    </row>
    <row r="43" spans="6:16">
      <c r="F43" s="14"/>
      <c r="O43" s="13"/>
      <c r="P43" s="13"/>
    </row>
    <row r="44" spans="6:16">
      <c r="F44" s="14"/>
      <c r="O44" s="13"/>
      <c r="P44" s="13"/>
    </row>
    <row r="45" spans="6:16">
      <c r="F45" s="14"/>
      <c r="O45" s="13"/>
      <c r="P45" s="13"/>
    </row>
    <row r="46" spans="6:16">
      <c r="F46" s="14"/>
      <c r="O46" s="13"/>
      <c r="P46" s="13"/>
    </row>
    <row r="47" spans="6:16">
      <c r="F47" s="14"/>
      <c r="O47" s="13"/>
      <c r="P47" s="13"/>
    </row>
    <row r="48" spans="6:16">
      <c r="F48" s="14"/>
      <c r="O48" s="13"/>
      <c r="P48" s="13"/>
    </row>
    <row r="49" spans="6:16">
      <c r="F49" s="14"/>
      <c r="O49" s="13"/>
      <c r="P49" s="13"/>
    </row>
    <row r="50" spans="6:16">
      <c r="F50" s="14"/>
      <c r="O50" s="13"/>
      <c r="P50" s="13"/>
    </row>
    <row r="51" spans="6:16">
      <c r="F51" s="14"/>
      <c r="O51" s="13"/>
      <c r="P51" s="13"/>
    </row>
    <row r="52" spans="6:16">
      <c r="F52" s="14"/>
      <c r="O52" s="13"/>
      <c r="P52" s="13"/>
    </row>
    <row r="53" spans="6:16">
      <c r="F53" s="14"/>
      <c r="O53" s="13"/>
      <c r="P53" s="13"/>
    </row>
    <row r="54" spans="6:16">
      <c r="F54" s="14"/>
      <c r="O54" s="13"/>
      <c r="P54" s="13"/>
    </row>
    <row r="55" spans="6:16">
      <c r="F55" s="14"/>
      <c r="O55" s="13"/>
      <c r="P55" s="13"/>
    </row>
    <row r="56" spans="6:16">
      <c r="F56" s="14"/>
      <c r="O56" s="13"/>
      <c r="P56" s="13"/>
    </row>
    <row r="57" spans="6:16">
      <c r="F57" s="14"/>
      <c r="O57" s="13"/>
      <c r="P57" s="13"/>
    </row>
    <row r="58" spans="6:16">
      <c r="F58" s="14"/>
      <c r="O58" s="13"/>
      <c r="P58" s="13"/>
    </row>
    <row r="59" spans="6:16">
      <c r="F59" s="14"/>
      <c r="O59" s="13"/>
      <c r="P59" s="13"/>
    </row>
    <row r="60" spans="6:16">
      <c r="F60" s="14"/>
      <c r="O60" s="13"/>
      <c r="P60" s="13"/>
    </row>
    <row r="61" spans="6:16">
      <c r="F61" s="14"/>
      <c r="O61" s="13"/>
      <c r="P61" s="13"/>
    </row>
    <row r="62" spans="6:16">
      <c r="F62" s="14"/>
      <c r="O62" s="13"/>
      <c r="P62" s="13"/>
    </row>
    <row r="63" spans="6:16">
      <c r="F63" s="14"/>
      <c r="O63" s="13"/>
      <c r="P63" s="13"/>
    </row>
    <row r="64" spans="6:16">
      <c r="F64" s="14"/>
      <c r="O64" s="13"/>
      <c r="P64" s="13"/>
    </row>
    <row r="65" spans="6:16">
      <c r="F65" s="14"/>
      <c r="O65" s="13"/>
      <c r="P65" s="13"/>
    </row>
    <row r="66" spans="6:16">
      <c r="F66" s="14"/>
      <c r="O66" s="13"/>
      <c r="P66" s="13"/>
    </row>
    <row r="67" spans="6:16">
      <c r="F67" s="14"/>
      <c r="O67" s="13"/>
      <c r="P67" s="13"/>
    </row>
    <row r="68" spans="6:16">
      <c r="F68" s="14"/>
      <c r="O68" s="13"/>
      <c r="P68" s="13"/>
    </row>
    <row r="69" spans="6:16">
      <c r="F69" s="14"/>
      <c r="O69" s="13"/>
      <c r="P69" s="13"/>
    </row>
    <row r="70" spans="6:16">
      <c r="F70" s="14"/>
      <c r="O70" s="13"/>
      <c r="P70" s="13"/>
    </row>
    <row r="71" spans="6:16">
      <c r="F71" s="14"/>
      <c r="O71" s="13"/>
      <c r="P71" s="13"/>
    </row>
    <row r="72" spans="6:16">
      <c r="F72" s="14"/>
      <c r="O72" s="13"/>
      <c r="P72" s="13"/>
    </row>
    <row r="73" spans="6:16">
      <c r="F73" s="14"/>
      <c r="O73" s="13"/>
      <c r="P73" s="13"/>
    </row>
    <row r="74" spans="6:16">
      <c r="F74" s="14"/>
      <c r="O74" s="13"/>
      <c r="P74" s="13"/>
    </row>
    <row r="75" spans="6:16">
      <c r="F75" s="14"/>
      <c r="O75" s="13"/>
      <c r="P75" s="13"/>
    </row>
    <row r="76" spans="6:16">
      <c r="F76" s="14"/>
      <c r="O76" s="13"/>
      <c r="P76" s="13"/>
    </row>
    <row r="77" spans="6:16">
      <c r="F77" s="14"/>
      <c r="O77" s="13"/>
      <c r="P77" s="13"/>
    </row>
    <row r="78" spans="6:16">
      <c r="F78" s="14"/>
      <c r="O78" s="13"/>
      <c r="P78" s="13"/>
    </row>
    <row r="79" spans="6:16">
      <c r="F79" s="14"/>
      <c r="O79" s="13"/>
      <c r="P79" s="13"/>
    </row>
    <row r="80" spans="6:16">
      <c r="F80" s="14"/>
      <c r="O80" s="13"/>
      <c r="P80" s="13"/>
    </row>
    <row r="81" spans="6:16">
      <c r="F81" s="14"/>
      <c r="O81" s="13"/>
      <c r="P81" s="13"/>
    </row>
    <row r="82" spans="6:16">
      <c r="F82" s="14"/>
      <c r="O82" s="13"/>
      <c r="P82" s="13"/>
    </row>
    <row r="83" spans="6:16">
      <c r="F83" s="14"/>
      <c r="O83" s="13"/>
      <c r="P83" s="13"/>
    </row>
    <row r="84" spans="6:16">
      <c r="F84" s="14"/>
      <c r="O84" s="13"/>
      <c r="P84" s="13"/>
    </row>
    <row r="85" spans="6:16">
      <c r="F85" s="14"/>
      <c r="O85" s="13"/>
      <c r="P85" s="13"/>
    </row>
    <row r="86" spans="6:16">
      <c r="F86" s="14"/>
      <c r="O86" s="13"/>
      <c r="P86" s="13"/>
    </row>
    <row r="87" spans="6:16">
      <c r="F87" s="14"/>
      <c r="O87" s="13"/>
      <c r="P87" s="13"/>
    </row>
    <row r="88" spans="6:16">
      <c r="F88" s="14"/>
      <c r="O88" s="13"/>
      <c r="P88" s="13"/>
    </row>
    <row r="89" spans="6:16">
      <c r="F89" s="14"/>
      <c r="O89" s="13"/>
      <c r="P89" s="13"/>
    </row>
    <row r="90" spans="6:16">
      <c r="F90" s="14"/>
      <c r="O90" s="13"/>
      <c r="P90" s="13"/>
    </row>
    <row r="91" spans="6:16">
      <c r="F91" s="14"/>
      <c r="O91" s="13"/>
      <c r="P91" s="13"/>
    </row>
    <row r="92" spans="6:16">
      <c r="F92" s="14"/>
      <c r="O92" s="13"/>
      <c r="P92" s="13"/>
    </row>
    <row r="93" spans="6:16">
      <c r="F93" s="14"/>
      <c r="O93" s="13"/>
      <c r="P93" s="13"/>
    </row>
    <row r="94" spans="6:16">
      <c r="F94" s="14"/>
      <c r="O94" s="13"/>
      <c r="P94" s="13"/>
    </row>
    <row r="95" spans="6:16">
      <c r="F95" s="14"/>
      <c r="O95" s="13"/>
      <c r="P95" s="13"/>
    </row>
    <row r="96" spans="6:16">
      <c r="F96" s="14"/>
      <c r="O96" s="13"/>
      <c r="P96" s="13"/>
    </row>
    <row r="97" spans="6:16">
      <c r="F97" s="14"/>
      <c r="O97" s="13"/>
      <c r="P97" s="13"/>
    </row>
    <row r="98" spans="6:16">
      <c r="F98" s="14"/>
      <c r="O98" s="13"/>
      <c r="P98" s="13"/>
    </row>
    <row r="99" spans="6:16">
      <c r="F99" s="14"/>
      <c r="O99" s="13"/>
      <c r="P99" s="13"/>
    </row>
    <row r="100" spans="6:16">
      <c r="F100" s="14"/>
      <c r="O100" s="13"/>
      <c r="P100" s="13"/>
    </row>
    <row r="101" spans="6:16">
      <c r="F101" s="14"/>
      <c r="O101" s="13"/>
      <c r="P101" s="13"/>
    </row>
    <row r="102" spans="6:16">
      <c r="F102" s="14"/>
      <c r="O102" s="13"/>
      <c r="P102" s="13"/>
    </row>
    <row r="103" spans="6:16">
      <c r="F103" s="14"/>
      <c r="O103" s="13"/>
      <c r="P103" s="13"/>
    </row>
    <row r="104" spans="6:16">
      <c r="F104" s="14"/>
      <c r="O104" s="13"/>
      <c r="P104" s="13"/>
    </row>
    <row r="105" spans="6:16">
      <c r="F105" s="14"/>
      <c r="O105" s="13"/>
      <c r="P105" s="13"/>
    </row>
    <row r="106" spans="6:16">
      <c r="F106" s="14"/>
      <c r="O106" s="13"/>
      <c r="P106" s="13"/>
    </row>
    <row r="107" spans="6:16">
      <c r="F107" s="14"/>
      <c r="O107" s="13"/>
      <c r="P107" s="13"/>
    </row>
    <row r="108" spans="6:16">
      <c r="F108" s="14"/>
      <c r="O108" s="13"/>
      <c r="P108" s="13"/>
    </row>
    <row r="109" spans="6:16">
      <c r="F109" s="14"/>
      <c r="O109" s="13"/>
      <c r="P109" s="13"/>
    </row>
    <row r="110" spans="6:16">
      <c r="F110" s="14"/>
      <c r="O110" s="13"/>
      <c r="P110" s="13"/>
    </row>
    <row r="111" spans="6:16">
      <c r="F111" s="14"/>
      <c r="O111" s="13"/>
      <c r="P111" s="13"/>
    </row>
    <row r="112" spans="6:16">
      <c r="F112" s="14"/>
      <c r="O112" s="13"/>
      <c r="P112" s="13"/>
    </row>
    <row r="113" spans="6:16">
      <c r="F113" s="14"/>
      <c r="O113" s="13"/>
      <c r="P113" s="13"/>
    </row>
    <row r="114" spans="6:16">
      <c r="F114" s="14"/>
      <c r="O114" s="13"/>
      <c r="P114" s="13"/>
    </row>
    <row r="115" spans="6:16">
      <c r="F115" s="14"/>
      <c r="O115" s="13"/>
      <c r="P115" s="13"/>
    </row>
    <row r="116" spans="6:16">
      <c r="F116" s="14"/>
      <c r="O116" s="13"/>
      <c r="P116" s="13"/>
    </row>
    <row r="117" spans="6:16">
      <c r="F117" s="14"/>
      <c r="O117" s="13"/>
      <c r="P117" s="13"/>
    </row>
    <row r="118" spans="6:16">
      <c r="F118" s="14"/>
      <c r="O118" s="13"/>
      <c r="P118" s="13"/>
    </row>
    <row r="119" spans="6:16">
      <c r="F119" s="14"/>
      <c r="O119" s="13"/>
      <c r="P119" s="13"/>
    </row>
    <row r="120" spans="6:16">
      <c r="F120" s="14"/>
      <c r="O120" s="13"/>
      <c r="P120" s="13"/>
    </row>
    <row r="121" spans="6:16">
      <c r="F121" s="14"/>
      <c r="O121" s="13"/>
      <c r="P121" s="13"/>
    </row>
    <row r="122" spans="6:16">
      <c r="F122" s="14"/>
      <c r="O122" s="13"/>
      <c r="P122" s="13"/>
    </row>
    <row r="123" spans="6:16">
      <c r="F123" s="14"/>
      <c r="O123" s="13"/>
      <c r="P123" s="13"/>
    </row>
    <row r="124" spans="6:16">
      <c r="F124" s="14"/>
      <c r="O124" s="13"/>
      <c r="P124" s="13"/>
    </row>
    <row r="125" spans="6:16">
      <c r="F125" s="14"/>
      <c r="O125" s="13"/>
      <c r="P125" s="13"/>
    </row>
    <row r="126" spans="6:16">
      <c r="F126" s="14"/>
      <c r="O126" s="13"/>
      <c r="P126" s="13"/>
    </row>
    <row r="127" spans="6:16">
      <c r="F127" s="14"/>
      <c r="O127" s="13"/>
      <c r="P127" s="13"/>
    </row>
    <row r="128" spans="6:16">
      <c r="F128" s="14"/>
      <c r="O128" s="13"/>
      <c r="P128" s="13"/>
    </row>
    <row r="129" spans="6:16">
      <c r="F129" s="14"/>
      <c r="O129" s="13"/>
      <c r="P129" s="13"/>
    </row>
    <row r="130" spans="6:16">
      <c r="F130" s="14"/>
      <c r="O130" s="13"/>
      <c r="P130" s="13"/>
    </row>
    <row r="131" spans="6:16">
      <c r="F131" s="14"/>
      <c r="O131" s="13"/>
      <c r="P131" s="13"/>
    </row>
    <row r="132" spans="6:16">
      <c r="F132" s="14"/>
      <c r="O132" s="13"/>
      <c r="P132" s="13"/>
    </row>
    <row r="133" spans="6:16">
      <c r="F133" s="14"/>
      <c r="O133" s="13"/>
      <c r="P133" s="13"/>
    </row>
    <row r="134" spans="6:16">
      <c r="F134" s="14"/>
      <c r="O134" s="13"/>
      <c r="P134" s="13"/>
    </row>
    <row r="135" spans="6:16">
      <c r="F135" s="14"/>
      <c r="O135" s="13"/>
      <c r="P135" s="13"/>
    </row>
    <row r="136" spans="6:16">
      <c r="F136" s="14"/>
      <c r="O136" s="13"/>
      <c r="P136" s="13"/>
    </row>
    <row r="137" spans="6:16">
      <c r="F137" s="14"/>
      <c r="O137" s="13"/>
      <c r="P137" s="13"/>
    </row>
    <row r="138" spans="6:16">
      <c r="F138" s="14"/>
      <c r="O138" s="13"/>
      <c r="P138" s="13"/>
    </row>
    <row r="139" spans="6:16">
      <c r="F139" s="14"/>
      <c r="O139" s="13"/>
      <c r="P139" s="13"/>
    </row>
    <row r="140" spans="6:16">
      <c r="F140" s="14"/>
      <c r="O140" s="13"/>
      <c r="P140" s="13"/>
    </row>
    <row r="141" spans="6:16">
      <c r="F141" s="14"/>
      <c r="O141" s="13"/>
      <c r="P141" s="13"/>
    </row>
    <row r="142" spans="6:16">
      <c r="F142" s="14"/>
      <c r="O142" s="13"/>
      <c r="P142" s="13"/>
    </row>
    <row r="143" spans="6:16">
      <c r="F143" s="14"/>
      <c r="O143" s="13"/>
      <c r="P143" s="13"/>
    </row>
    <row r="144" spans="6:16">
      <c r="F144" s="14"/>
      <c r="O144" s="13"/>
      <c r="P144" s="13"/>
    </row>
    <row r="145" spans="6:16">
      <c r="F145" s="14"/>
      <c r="O145" s="13"/>
      <c r="P145" s="13"/>
    </row>
    <row r="146" spans="6:16">
      <c r="F146" s="14"/>
      <c r="O146" s="13"/>
      <c r="P146" s="13"/>
    </row>
    <row r="147" spans="6:16">
      <c r="F147" s="14"/>
      <c r="O147" s="13"/>
      <c r="P147" s="13"/>
    </row>
    <row r="148" spans="6:16">
      <c r="F148" s="14"/>
      <c r="O148" s="13"/>
      <c r="P148" s="13"/>
    </row>
    <row r="149" spans="6:16">
      <c r="F149" s="14"/>
      <c r="O149" s="13"/>
      <c r="P149" s="13"/>
    </row>
    <row r="150" spans="6:16">
      <c r="F150" s="14"/>
      <c r="O150" s="13"/>
      <c r="P150" s="13"/>
    </row>
    <row r="151" spans="6:16">
      <c r="F151" s="14"/>
      <c r="O151" s="13"/>
      <c r="P151" s="13"/>
    </row>
    <row r="152" spans="6:16">
      <c r="F152" s="14"/>
      <c r="O152" s="13"/>
      <c r="P152" s="13"/>
    </row>
    <row r="153" spans="6:16">
      <c r="F153" s="14"/>
      <c r="O153" s="13"/>
      <c r="P153" s="13"/>
    </row>
    <row r="154" spans="6:16">
      <c r="F154" s="14"/>
      <c r="O154" s="13"/>
      <c r="P154" s="13"/>
    </row>
    <row r="155" spans="6:16">
      <c r="F155" s="14"/>
      <c r="O155" s="13"/>
      <c r="P155" s="13"/>
    </row>
    <row r="156" spans="6:16">
      <c r="F156" s="14"/>
      <c r="O156" s="13"/>
      <c r="P156" s="13"/>
    </row>
    <row r="157" spans="6:16">
      <c r="F157" s="14"/>
      <c r="O157" s="13"/>
      <c r="P157" s="13"/>
    </row>
    <row r="158" spans="6:16">
      <c r="F158" s="14"/>
      <c r="O158" s="13"/>
      <c r="P158" s="13"/>
    </row>
    <row r="159" spans="6:16">
      <c r="F159" s="14"/>
      <c r="O159" s="13"/>
      <c r="P159" s="13"/>
    </row>
    <row r="160" spans="6:16">
      <c r="F160" s="14"/>
      <c r="O160" s="13"/>
      <c r="P160" s="13"/>
    </row>
    <row r="161" spans="6:16">
      <c r="F161" s="14"/>
      <c r="O161" s="13"/>
      <c r="P161" s="13"/>
    </row>
    <row r="162" spans="6:16">
      <c r="F162" s="14"/>
      <c r="O162" s="13"/>
      <c r="P162" s="13"/>
    </row>
    <row r="163" spans="6:16">
      <c r="F163" s="14"/>
      <c r="O163" s="13"/>
      <c r="P163" s="13"/>
    </row>
    <row r="164" spans="6:16">
      <c r="F164" s="14"/>
      <c r="O164" s="13"/>
      <c r="P164" s="13"/>
    </row>
    <row r="165" spans="6:16">
      <c r="F165" s="14"/>
      <c r="O165" s="13"/>
      <c r="P165" s="13"/>
    </row>
    <row r="166" spans="6:16">
      <c r="F166" s="14"/>
      <c r="O166" s="13"/>
      <c r="P166" s="13"/>
    </row>
    <row r="167" spans="6:16">
      <c r="F167" s="14"/>
      <c r="O167" s="13"/>
      <c r="P167" s="13"/>
    </row>
    <row r="168" spans="6:16">
      <c r="F168" s="14"/>
      <c r="O168" s="13"/>
      <c r="P168" s="13"/>
    </row>
    <row r="169" spans="6:16">
      <c r="F169" s="14"/>
      <c r="O169" s="13"/>
      <c r="P169" s="13"/>
    </row>
    <row r="170" spans="6:16">
      <c r="F170" s="14"/>
      <c r="O170" s="13"/>
      <c r="P170" s="13"/>
    </row>
    <row r="171" spans="6:16">
      <c r="F171" s="14"/>
      <c r="O171" s="13"/>
      <c r="P171" s="13"/>
    </row>
    <row r="172" spans="6:16">
      <c r="F172" s="14"/>
      <c r="O172" s="13"/>
      <c r="P172" s="13"/>
    </row>
    <row r="173" spans="6:16">
      <c r="F173" s="14"/>
      <c r="O173" s="13"/>
      <c r="P173" s="13"/>
    </row>
    <row r="174" spans="6:16">
      <c r="F174" s="14"/>
      <c r="O174" s="13"/>
      <c r="P174" s="13"/>
    </row>
    <row r="175" spans="6:16">
      <c r="F175" s="14"/>
      <c r="O175" s="13"/>
      <c r="P175" s="13"/>
    </row>
    <row r="176" spans="6:16">
      <c r="F176" s="14"/>
      <c r="O176" s="13"/>
      <c r="P176" s="13"/>
    </row>
    <row r="177" spans="6:16">
      <c r="F177" s="14"/>
      <c r="O177" s="13"/>
      <c r="P177" s="13"/>
    </row>
    <row r="178" spans="6:16">
      <c r="F178" s="14"/>
      <c r="O178" s="13"/>
      <c r="P178" s="13"/>
    </row>
    <row r="179" spans="6:16">
      <c r="F179" s="14"/>
      <c r="O179" s="13"/>
      <c r="P179" s="13"/>
    </row>
    <row r="180" spans="6:16">
      <c r="F180" s="14"/>
      <c r="O180" s="13"/>
      <c r="P180" s="13"/>
    </row>
    <row r="181" spans="6:16">
      <c r="F181" s="14"/>
      <c r="O181" s="13"/>
      <c r="P181" s="13"/>
    </row>
    <row r="182" spans="6:16">
      <c r="F182" s="14"/>
      <c r="O182" s="13"/>
      <c r="P182" s="13"/>
    </row>
    <row r="183" spans="6:16">
      <c r="F183" s="14"/>
      <c r="O183" s="13"/>
      <c r="P183" s="13"/>
    </row>
    <row r="184" spans="6:16">
      <c r="F184" s="14"/>
      <c r="O184" s="13"/>
      <c r="P184" s="13"/>
    </row>
    <row r="185" spans="6:16">
      <c r="F185" s="14"/>
      <c r="O185" s="13"/>
      <c r="P185" s="13"/>
    </row>
    <row r="186" spans="6:16">
      <c r="F186" s="14"/>
      <c r="O186" s="13"/>
      <c r="P186" s="13"/>
    </row>
    <row r="187" spans="6:16">
      <c r="F187" s="14"/>
      <c r="O187" s="13"/>
      <c r="P187" s="13"/>
    </row>
    <row r="188" spans="6:16">
      <c r="F188" s="14"/>
      <c r="O188" s="13"/>
      <c r="P188" s="13"/>
    </row>
    <row r="189" spans="6:16">
      <c r="F189" s="14"/>
      <c r="O189" s="13"/>
      <c r="P189" s="13"/>
    </row>
    <row r="190" spans="6:16">
      <c r="F190" s="14"/>
      <c r="O190" s="13"/>
      <c r="P190" s="13"/>
    </row>
    <row r="191" spans="6:16">
      <c r="F191" s="14"/>
      <c r="O191" s="13"/>
      <c r="P191" s="13"/>
    </row>
    <row r="192" spans="6:16">
      <c r="F192" s="14"/>
      <c r="O192" s="13"/>
      <c r="P192" s="13"/>
    </row>
    <row r="193" spans="6:16">
      <c r="F193" s="14"/>
      <c r="O193" s="13"/>
      <c r="P193" s="13"/>
    </row>
    <row r="194" spans="6:16">
      <c r="F194" s="14"/>
      <c r="O194" s="13"/>
      <c r="P194" s="13"/>
    </row>
    <row r="195" spans="6:16">
      <c r="F195" s="14"/>
      <c r="O195" s="13"/>
      <c r="P195" s="13"/>
    </row>
    <row r="196" spans="6:16">
      <c r="F196" s="14"/>
      <c r="O196" s="13"/>
      <c r="P196" s="13"/>
    </row>
    <row r="197" spans="6:16">
      <c r="F197" s="14"/>
      <c r="O197" s="13"/>
      <c r="P197" s="13"/>
    </row>
    <row r="198" spans="6:16">
      <c r="F198" s="14"/>
      <c r="O198" s="13"/>
      <c r="P198" s="13"/>
    </row>
    <row r="199" spans="6:16">
      <c r="F199" s="14"/>
      <c r="O199" s="13"/>
      <c r="P199" s="13"/>
    </row>
    <row r="200" spans="6:16">
      <c r="F200" s="14"/>
      <c r="O200" s="13"/>
      <c r="P200" s="13"/>
    </row>
  </sheetData>
  <mergeCells count="1">
    <mergeCell ref="A1:U1"/>
  </mergeCells>
  <conditionalFormatting sqref="Q4:Q200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dataValidations count="3">
    <dataValidation type="list" sqref="B4:B200 S4:T200" xr:uid="{00000000-0002-0000-0400-000000000000}">
      <formula1>"Sí,No"</formula1>
    </dataValidation>
    <dataValidation type="list" sqref="D4:D200" xr:uid="{00000000-0002-0000-0400-000001000000}">
      <formula1>"DIARIA,LABORABLES,SEMANAL,MENSUAL,TRIMESTRAL"</formula1>
    </dataValidation>
    <dataValidation type="list" sqref="Q4:Q200" xr:uid="{00000000-0002-0000-0400-000002000000}">
      <formula1>"1,2,3,4,5"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300"/>
  <sheetViews>
    <sheetView workbookViewId="0"/>
  </sheetViews>
  <sheetFormatPr baseColWidth="10" defaultColWidth="8.796875" defaultRowHeight="13.8"/>
  <cols>
    <col min="1" max="1" width="13" customWidth="1"/>
    <col min="2" max="2" width="38" customWidth="1"/>
    <col min="3" max="3" width="42" customWidth="1"/>
    <col min="4" max="5" width="14" customWidth="1"/>
    <col min="6" max="10" width="12" customWidth="1"/>
    <col min="11" max="12" width="14" customWidth="1"/>
    <col min="13" max="13" width="10" customWidth="1"/>
    <col min="14" max="14" width="14" customWidth="1"/>
    <col min="15" max="15" width="16" customWidth="1"/>
    <col min="16" max="17" width="34" customWidth="1"/>
  </cols>
  <sheetData>
    <row r="1" spans="1:17" ht="22.35" customHeight="1">
      <c r="A1" s="26" t="s">
        <v>208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</row>
    <row r="3" spans="1:17" ht="27.6">
      <c r="A3" s="1" t="s">
        <v>209</v>
      </c>
      <c r="B3" s="2" t="s">
        <v>210</v>
      </c>
      <c r="C3" s="2" t="s">
        <v>211</v>
      </c>
      <c r="D3" s="2" t="s">
        <v>92</v>
      </c>
      <c r="E3" s="2" t="s">
        <v>212</v>
      </c>
      <c r="F3" s="2" t="s">
        <v>213</v>
      </c>
      <c r="G3" s="2" t="s">
        <v>214</v>
      </c>
      <c r="H3" s="2" t="s">
        <v>215</v>
      </c>
      <c r="I3" s="2" t="s">
        <v>216</v>
      </c>
      <c r="J3" s="2" t="s">
        <v>217</v>
      </c>
      <c r="K3" s="2" t="s">
        <v>218</v>
      </c>
      <c r="L3" s="2" t="s">
        <v>66</v>
      </c>
      <c r="M3" s="2" t="s">
        <v>68</v>
      </c>
      <c r="N3" s="2" t="s">
        <v>91</v>
      </c>
      <c r="O3" s="2" t="s">
        <v>219</v>
      </c>
      <c r="P3" s="2" t="s">
        <v>220</v>
      </c>
      <c r="Q3" s="3" t="s">
        <v>71</v>
      </c>
    </row>
    <row r="4" spans="1:17">
      <c r="A4" t="s">
        <v>221</v>
      </c>
      <c r="B4" t="s">
        <v>222</v>
      </c>
      <c r="C4" t="s">
        <v>223</v>
      </c>
      <c r="D4" t="s">
        <v>111</v>
      </c>
      <c r="E4" t="s">
        <v>224</v>
      </c>
      <c r="F4">
        <v>0.6</v>
      </c>
      <c r="G4">
        <v>0.85</v>
      </c>
      <c r="H4">
        <v>0.7</v>
      </c>
      <c r="I4" t="s">
        <v>225</v>
      </c>
      <c r="J4" s="15">
        <f t="shared" ref="J4:J67" si="0">IF(A4="","",IFERROR(IF(I4="%",H4/G4,IF(G4=F4,0,(H4-F4)/(G4-F4))),0))</f>
        <v>0.82352941176470584</v>
      </c>
      <c r="K4">
        <v>4</v>
      </c>
      <c r="L4" s="13">
        <v>46295</v>
      </c>
      <c r="M4" t="s">
        <v>108</v>
      </c>
      <c r="N4" t="s">
        <v>118</v>
      </c>
      <c r="O4" s="13">
        <v>46255</v>
      </c>
      <c r="P4" t="s">
        <v>226</v>
      </c>
      <c r="Q4" t="s">
        <v>227</v>
      </c>
    </row>
    <row r="5" spans="1:17">
      <c r="A5" t="s">
        <v>228</v>
      </c>
      <c r="B5" t="s">
        <v>229</v>
      </c>
      <c r="C5" t="s">
        <v>230</v>
      </c>
      <c r="D5" t="s">
        <v>111</v>
      </c>
      <c r="E5" t="s">
        <v>224</v>
      </c>
      <c r="F5">
        <v>300</v>
      </c>
      <c r="G5">
        <v>600</v>
      </c>
      <c r="H5">
        <v>420</v>
      </c>
      <c r="I5" t="s">
        <v>231</v>
      </c>
      <c r="J5" s="15">
        <f t="shared" si="0"/>
        <v>0.4</v>
      </c>
      <c r="K5">
        <v>3</v>
      </c>
      <c r="L5" s="13">
        <v>46295</v>
      </c>
      <c r="M5" t="s">
        <v>108</v>
      </c>
      <c r="N5" t="s">
        <v>118</v>
      </c>
      <c r="O5" s="13">
        <v>46255</v>
      </c>
      <c r="P5" t="s">
        <v>232</v>
      </c>
    </row>
    <row r="6" spans="1:17">
      <c r="J6" s="15" t="str">
        <f t="shared" si="0"/>
        <v/>
      </c>
      <c r="L6" s="13"/>
      <c r="O6" s="13"/>
    </row>
    <row r="7" spans="1:17">
      <c r="J7" s="15" t="str">
        <f t="shared" si="0"/>
        <v/>
      </c>
      <c r="L7" s="13"/>
      <c r="O7" s="13"/>
    </row>
    <row r="8" spans="1:17">
      <c r="J8" s="15" t="str">
        <f t="shared" si="0"/>
        <v/>
      </c>
      <c r="L8" s="13"/>
      <c r="O8" s="13"/>
    </row>
    <row r="9" spans="1:17">
      <c r="J9" s="15" t="str">
        <f t="shared" si="0"/>
        <v/>
      </c>
      <c r="L9" s="13"/>
      <c r="O9" s="13"/>
    </row>
    <row r="10" spans="1:17">
      <c r="J10" s="15" t="str">
        <f t="shared" si="0"/>
        <v/>
      </c>
      <c r="L10" s="13"/>
      <c r="O10" s="13"/>
    </row>
    <row r="11" spans="1:17">
      <c r="J11" s="15" t="str">
        <f t="shared" si="0"/>
        <v/>
      </c>
      <c r="L11" s="13"/>
      <c r="O11" s="13"/>
    </row>
    <row r="12" spans="1:17">
      <c r="J12" s="15" t="str">
        <f t="shared" si="0"/>
        <v/>
      </c>
      <c r="L12" s="13"/>
      <c r="O12" s="13"/>
    </row>
    <row r="13" spans="1:17">
      <c r="J13" s="15" t="str">
        <f t="shared" si="0"/>
        <v/>
      </c>
      <c r="L13" s="13"/>
      <c r="O13" s="13"/>
    </row>
    <row r="14" spans="1:17">
      <c r="J14" s="15" t="str">
        <f t="shared" si="0"/>
        <v/>
      </c>
      <c r="L14" s="13"/>
      <c r="O14" s="13"/>
    </row>
    <row r="15" spans="1:17">
      <c r="J15" s="15" t="str">
        <f t="shared" si="0"/>
        <v/>
      </c>
      <c r="L15" s="13"/>
      <c r="O15" s="13"/>
    </row>
    <row r="16" spans="1:17">
      <c r="J16" s="15" t="str">
        <f t="shared" si="0"/>
        <v/>
      </c>
      <c r="L16" s="13"/>
      <c r="O16" s="13"/>
    </row>
    <row r="17" spans="10:15">
      <c r="J17" s="15" t="str">
        <f t="shared" si="0"/>
        <v/>
      </c>
      <c r="L17" s="13"/>
      <c r="O17" s="13"/>
    </row>
    <row r="18" spans="10:15">
      <c r="J18" s="15" t="str">
        <f t="shared" si="0"/>
        <v/>
      </c>
      <c r="L18" s="13"/>
      <c r="O18" s="13"/>
    </row>
    <row r="19" spans="10:15">
      <c r="J19" s="15" t="str">
        <f t="shared" si="0"/>
        <v/>
      </c>
      <c r="L19" s="13"/>
      <c r="O19" s="13"/>
    </row>
    <row r="20" spans="10:15">
      <c r="J20" s="15" t="str">
        <f t="shared" si="0"/>
        <v/>
      </c>
      <c r="L20" s="13"/>
      <c r="O20" s="13"/>
    </row>
    <row r="21" spans="10:15">
      <c r="J21" s="15" t="str">
        <f t="shared" si="0"/>
        <v/>
      </c>
      <c r="L21" s="13"/>
      <c r="O21" s="13"/>
    </row>
    <row r="22" spans="10:15">
      <c r="J22" s="15" t="str">
        <f t="shared" si="0"/>
        <v/>
      </c>
      <c r="L22" s="13"/>
      <c r="O22" s="13"/>
    </row>
    <row r="23" spans="10:15">
      <c r="J23" s="15" t="str">
        <f t="shared" si="0"/>
        <v/>
      </c>
      <c r="L23" s="13"/>
      <c r="O23" s="13"/>
    </row>
    <row r="24" spans="10:15">
      <c r="J24" s="15" t="str">
        <f t="shared" si="0"/>
        <v/>
      </c>
      <c r="L24" s="13"/>
      <c r="O24" s="13"/>
    </row>
    <row r="25" spans="10:15">
      <c r="J25" s="15" t="str">
        <f t="shared" si="0"/>
        <v/>
      </c>
      <c r="L25" s="13"/>
      <c r="O25" s="13"/>
    </row>
    <row r="26" spans="10:15">
      <c r="J26" s="15" t="str">
        <f t="shared" si="0"/>
        <v/>
      </c>
      <c r="L26" s="13"/>
      <c r="O26" s="13"/>
    </row>
    <row r="27" spans="10:15">
      <c r="J27" s="15" t="str">
        <f t="shared" si="0"/>
        <v/>
      </c>
      <c r="L27" s="13"/>
      <c r="O27" s="13"/>
    </row>
    <row r="28" spans="10:15">
      <c r="J28" s="15" t="str">
        <f t="shared" si="0"/>
        <v/>
      </c>
      <c r="L28" s="13"/>
      <c r="O28" s="13"/>
    </row>
    <row r="29" spans="10:15">
      <c r="J29" s="15" t="str">
        <f t="shared" si="0"/>
        <v/>
      </c>
      <c r="L29" s="13"/>
      <c r="O29" s="13"/>
    </row>
    <row r="30" spans="10:15">
      <c r="J30" s="15" t="str">
        <f t="shared" si="0"/>
        <v/>
      </c>
      <c r="L30" s="13"/>
      <c r="O30" s="13"/>
    </row>
    <row r="31" spans="10:15">
      <c r="J31" s="15" t="str">
        <f t="shared" si="0"/>
        <v/>
      </c>
      <c r="L31" s="13"/>
      <c r="O31" s="13"/>
    </row>
    <row r="32" spans="10:15">
      <c r="J32" s="15" t="str">
        <f t="shared" si="0"/>
        <v/>
      </c>
      <c r="L32" s="13"/>
      <c r="O32" s="13"/>
    </row>
    <row r="33" spans="10:15">
      <c r="J33" s="15" t="str">
        <f t="shared" si="0"/>
        <v/>
      </c>
      <c r="L33" s="13"/>
      <c r="O33" s="13"/>
    </row>
    <row r="34" spans="10:15">
      <c r="J34" s="15" t="str">
        <f t="shared" si="0"/>
        <v/>
      </c>
      <c r="L34" s="13"/>
      <c r="O34" s="13"/>
    </row>
    <row r="35" spans="10:15">
      <c r="J35" s="15" t="str">
        <f t="shared" si="0"/>
        <v/>
      </c>
      <c r="L35" s="13"/>
      <c r="O35" s="13"/>
    </row>
    <row r="36" spans="10:15">
      <c r="J36" s="15" t="str">
        <f t="shared" si="0"/>
        <v/>
      </c>
      <c r="L36" s="13"/>
      <c r="O36" s="13"/>
    </row>
    <row r="37" spans="10:15">
      <c r="J37" s="15" t="str">
        <f t="shared" si="0"/>
        <v/>
      </c>
      <c r="L37" s="13"/>
      <c r="O37" s="13"/>
    </row>
    <row r="38" spans="10:15">
      <c r="J38" s="15" t="str">
        <f t="shared" si="0"/>
        <v/>
      </c>
      <c r="L38" s="13"/>
      <c r="O38" s="13"/>
    </row>
    <row r="39" spans="10:15">
      <c r="J39" s="15" t="str">
        <f t="shared" si="0"/>
        <v/>
      </c>
      <c r="L39" s="13"/>
      <c r="O39" s="13"/>
    </row>
    <row r="40" spans="10:15">
      <c r="J40" s="15" t="str">
        <f t="shared" si="0"/>
        <v/>
      </c>
      <c r="L40" s="13"/>
      <c r="O40" s="13"/>
    </row>
    <row r="41" spans="10:15">
      <c r="J41" s="15" t="str">
        <f t="shared" si="0"/>
        <v/>
      </c>
      <c r="L41" s="13"/>
      <c r="O41" s="13"/>
    </row>
    <row r="42" spans="10:15">
      <c r="J42" s="15" t="str">
        <f t="shared" si="0"/>
        <v/>
      </c>
      <c r="L42" s="13"/>
      <c r="O42" s="13"/>
    </row>
    <row r="43" spans="10:15">
      <c r="J43" s="15" t="str">
        <f t="shared" si="0"/>
        <v/>
      </c>
      <c r="L43" s="13"/>
      <c r="O43" s="13"/>
    </row>
    <row r="44" spans="10:15">
      <c r="J44" s="15" t="str">
        <f t="shared" si="0"/>
        <v/>
      </c>
      <c r="L44" s="13"/>
      <c r="O44" s="13"/>
    </row>
    <row r="45" spans="10:15">
      <c r="J45" s="15" t="str">
        <f t="shared" si="0"/>
        <v/>
      </c>
      <c r="L45" s="13"/>
      <c r="O45" s="13"/>
    </row>
    <row r="46" spans="10:15">
      <c r="J46" s="15" t="str">
        <f t="shared" si="0"/>
        <v/>
      </c>
      <c r="L46" s="13"/>
      <c r="O46" s="13"/>
    </row>
    <row r="47" spans="10:15">
      <c r="J47" s="15" t="str">
        <f t="shared" si="0"/>
        <v/>
      </c>
      <c r="L47" s="13"/>
      <c r="O47" s="13"/>
    </row>
    <row r="48" spans="10:15">
      <c r="J48" s="15" t="str">
        <f t="shared" si="0"/>
        <v/>
      </c>
      <c r="L48" s="13"/>
      <c r="O48" s="13"/>
    </row>
    <row r="49" spans="10:15">
      <c r="J49" s="15" t="str">
        <f t="shared" si="0"/>
        <v/>
      </c>
      <c r="L49" s="13"/>
      <c r="O49" s="13"/>
    </row>
    <row r="50" spans="10:15">
      <c r="J50" s="15" t="str">
        <f t="shared" si="0"/>
        <v/>
      </c>
      <c r="L50" s="13"/>
      <c r="O50" s="13"/>
    </row>
    <row r="51" spans="10:15">
      <c r="J51" s="15" t="str">
        <f t="shared" si="0"/>
        <v/>
      </c>
      <c r="L51" s="13"/>
      <c r="O51" s="13"/>
    </row>
    <row r="52" spans="10:15">
      <c r="J52" s="15" t="str">
        <f t="shared" si="0"/>
        <v/>
      </c>
      <c r="L52" s="13"/>
      <c r="O52" s="13"/>
    </row>
    <row r="53" spans="10:15">
      <c r="J53" s="15" t="str">
        <f t="shared" si="0"/>
        <v/>
      </c>
      <c r="L53" s="13"/>
      <c r="O53" s="13"/>
    </row>
    <row r="54" spans="10:15">
      <c r="J54" s="15" t="str">
        <f t="shared" si="0"/>
        <v/>
      </c>
      <c r="L54" s="13"/>
      <c r="O54" s="13"/>
    </row>
    <row r="55" spans="10:15">
      <c r="J55" s="15" t="str">
        <f t="shared" si="0"/>
        <v/>
      </c>
      <c r="L55" s="13"/>
      <c r="O55" s="13"/>
    </row>
    <row r="56" spans="10:15">
      <c r="J56" s="15" t="str">
        <f t="shared" si="0"/>
        <v/>
      </c>
      <c r="L56" s="13"/>
      <c r="O56" s="13"/>
    </row>
    <row r="57" spans="10:15">
      <c r="J57" s="15" t="str">
        <f t="shared" si="0"/>
        <v/>
      </c>
      <c r="L57" s="13"/>
      <c r="O57" s="13"/>
    </row>
    <row r="58" spans="10:15">
      <c r="J58" s="15" t="str">
        <f t="shared" si="0"/>
        <v/>
      </c>
      <c r="L58" s="13"/>
      <c r="O58" s="13"/>
    </row>
    <row r="59" spans="10:15">
      <c r="J59" s="15" t="str">
        <f t="shared" si="0"/>
        <v/>
      </c>
      <c r="L59" s="13"/>
      <c r="O59" s="13"/>
    </row>
    <row r="60" spans="10:15">
      <c r="J60" s="15" t="str">
        <f t="shared" si="0"/>
        <v/>
      </c>
      <c r="L60" s="13"/>
      <c r="O60" s="13"/>
    </row>
    <row r="61" spans="10:15">
      <c r="J61" s="15" t="str">
        <f t="shared" si="0"/>
        <v/>
      </c>
      <c r="L61" s="13"/>
      <c r="O61" s="13"/>
    </row>
    <row r="62" spans="10:15">
      <c r="J62" s="15" t="str">
        <f t="shared" si="0"/>
        <v/>
      </c>
      <c r="L62" s="13"/>
      <c r="O62" s="13"/>
    </row>
    <row r="63" spans="10:15">
      <c r="J63" s="15" t="str">
        <f t="shared" si="0"/>
        <v/>
      </c>
      <c r="L63" s="13"/>
      <c r="O63" s="13"/>
    </row>
    <row r="64" spans="10:15">
      <c r="J64" s="15" t="str">
        <f t="shared" si="0"/>
        <v/>
      </c>
      <c r="L64" s="13"/>
      <c r="O64" s="13"/>
    </row>
    <row r="65" spans="10:15">
      <c r="J65" s="15" t="str">
        <f t="shared" si="0"/>
        <v/>
      </c>
      <c r="L65" s="13"/>
      <c r="O65" s="13"/>
    </row>
    <row r="66" spans="10:15">
      <c r="J66" s="15" t="str">
        <f t="shared" si="0"/>
        <v/>
      </c>
      <c r="L66" s="13"/>
      <c r="O66" s="13"/>
    </row>
    <row r="67" spans="10:15">
      <c r="J67" s="15" t="str">
        <f t="shared" si="0"/>
        <v/>
      </c>
      <c r="L67" s="13"/>
      <c r="O67" s="13"/>
    </row>
    <row r="68" spans="10:15">
      <c r="J68" s="15" t="str">
        <f t="shared" ref="J68:J131" si="1">IF(A68="","",IFERROR(IF(I68="%",H68/G68,IF(G68=F68,0,(H68-F68)/(G68-F68))),0))</f>
        <v/>
      </c>
      <c r="L68" s="13"/>
      <c r="O68" s="13"/>
    </row>
    <row r="69" spans="10:15">
      <c r="J69" s="15" t="str">
        <f t="shared" si="1"/>
        <v/>
      </c>
      <c r="L69" s="13"/>
      <c r="O69" s="13"/>
    </row>
    <row r="70" spans="10:15">
      <c r="J70" s="15" t="str">
        <f t="shared" si="1"/>
        <v/>
      </c>
      <c r="L70" s="13"/>
      <c r="O70" s="13"/>
    </row>
    <row r="71" spans="10:15">
      <c r="J71" s="15" t="str">
        <f t="shared" si="1"/>
        <v/>
      </c>
      <c r="L71" s="13"/>
      <c r="O71" s="13"/>
    </row>
    <row r="72" spans="10:15">
      <c r="J72" s="15" t="str">
        <f t="shared" si="1"/>
        <v/>
      </c>
      <c r="L72" s="13"/>
      <c r="O72" s="13"/>
    </row>
    <row r="73" spans="10:15">
      <c r="J73" s="15" t="str">
        <f t="shared" si="1"/>
        <v/>
      </c>
      <c r="L73" s="13"/>
      <c r="O73" s="13"/>
    </row>
    <row r="74" spans="10:15">
      <c r="J74" s="15" t="str">
        <f t="shared" si="1"/>
        <v/>
      </c>
      <c r="L74" s="13"/>
      <c r="O74" s="13"/>
    </row>
    <row r="75" spans="10:15">
      <c r="J75" s="15" t="str">
        <f t="shared" si="1"/>
        <v/>
      </c>
      <c r="L75" s="13"/>
      <c r="O75" s="13"/>
    </row>
    <row r="76" spans="10:15">
      <c r="J76" s="15" t="str">
        <f t="shared" si="1"/>
        <v/>
      </c>
      <c r="L76" s="13"/>
      <c r="O76" s="13"/>
    </row>
    <row r="77" spans="10:15">
      <c r="J77" s="15" t="str">
        <f t="shared" si="1"/>
        <v/>
      </c>
      <c r="L77" s="13"/>
      <c r="O77" s="13"/>
    </row>
    <row r="78" spans="10:15">
      <c r="J78" s="15" t="str">
        <f t="shared" si="1"/>
        <v/>
      </c>
      <c r="L78" s="13"/>
      <c r="O78" s="13"/>
    </row>
    <row r="79" spans="10:15">
      <c r="J79" s="15" t="str">
        <f t="shared" si="1"/>
        <v/>
      </c>
      <c r="L79" s="13"/>
      <c r="O79" s="13"/>
    </row>
    <row r="80" spans="10:15">
      <c r="J80" s="15" t="str">
        <f t="shared" si="1"/>
        <v/>
      </c>
      <c r="L80" s="13"/>
      <c r="O80" s="13"/>
    </row>
    <row r="81" spans="10:15">
      <c r="J81" s="15" t="str">
        <f t="shared" si="1"/>
        <v/>
      </c>
      <c r="L81" s="13"/>
      <c r="O81" s="13"/>
    </row>
    <row r="82" spans="10:15">
      <c r="J82" s="15" t="str">
        <f t="shared" si="1"/>
        <v/>
      </c>
      <c r="L82" s="13"/>
      <c r="O82" s="13"/>
    </row>
    <row r="83" spans="10:15">
      <c r="J83" s="15" t="str">
        <f t="shared" si="1"/>
        <v/>
      </c>
      <c r="L83" s="13"/>
      <c r="O83" s="13"/>
    </row>
    <row r="84" spans="10:15">
      <c r="J84" s="15" t="str">
        <f t="shared" si="1"/>
        <v/>
      </c>
      <c r="L84" s="13"/>
      <c r="O84" s="13"/>
    </row>
    <row r="85" spans="10:15">
      <c r="J85" s="15" t="str">
        <f t="shared" si="1"/>
        <v/>
      </c>
      <c r="L85" s="13"/>
      <c r="O85" s="13"/>
    </row>
    <row r="86" spans="10:15">
      <c r="J86" s="15" t="str">
        <f t="shared" si="1"/>
        <v/>
      </c>
      <c r="L86" s="13"/>
      <c r="O86" s="13"/>
    </row>
    <row r="87" spans="10:15">
      <c r="J87" s="15" t="str">
        <f t="shared" si="1"/>
        <v/>
      </c>
      <c r="L87" s="13"/>
      <c r="O87" s="13"/>
    </row>
    <row r="88" spans="10:15">
      <c r="J88" s="15" t="str">
        <f t="shared" si="1"/>
        <v/>
      </c>
      <c r="L88" s="13"/>
      <c r="O88" s="13"/>
    </row>
    <row r="89" spans="10:15">
      <c r="J89" s="15" t="str">
        <f t="shared" si="1"/>
        <v/>
      </c>
      <c r="L89" s="13"/>
      <c r="O89" s="13"/>
    </row>
    <row r="90" spans="10:15">
      <c r="J90" s="15" t="str">
        <f t="shared" si="1"/>
        <v/>
      </c>
      <c r="L90" s="13"/>
      <c r="O90" s="13"/>
    </row>
    <row r="91" spans="10:15">
      <c r="J91" s="15" t="str">
        <f t="shared" si="1"/>
        <v/>
      </c>
      <c r="L91" s="13"/>
      <c r="O91" s="13"/>
    </row>
    <row r="92" spans="10:15">
      <c r="J92" s="15" t="str">
        <f t="shared" si="1"/>
        <v/>
      </c>
      <c r="L92" s="13"/>
      <c r="O92" s="13"/>
    </row>
    <row r="93" spans="10:15">
      <c r="J93" s="15" t="str">
        <f t="shared" si="1"/>
        <v/>
      </c>
      <c r="L93" s="13"/>
      <c r="O93" s="13"/>
    </row>
    <row r="94" spans="10:15">
      <c r="J94" s="15" t="str">
        <f t="shared" si="1"/>
        <v/>
      </c>
      <c r="L94" s="13"/>
      <c r="O94" s="13"/>
    </row>
    <row r="95" spans="10:15">
      <c r="J95" s="15" t="str">
        <f t="shared" si="1"/>
        <v/>
      </c>
      <c r="L95" s="13"/>
      <c r="O95" s="13"/>
    </row>
    <row r="96" spans="10:15">
      <c r="J96" s="15" t="str">
        <f t="shared" si="1"/>
        <v/>
      </c>
      <c r="L96" s="13"/>
      <c r="O96" s="13"/>
    </row>
    <row r="97" spans="10:15">
      <c r="J97" s="15" t="str">
        <f t="shared" si="1"/>
        <v/>
      </c>
      <c r="L97" s="13"/>
      <c r="O97" s="13"/>
    </row>
    <row r="98" spans="10:15">
      <c r="J98" s="15" t="str">
        <f t="shared" si="1"/>
        <v/>
      </c>
      <c r="L98" s="13"/>
      <c r="O98" s="13"/>
    </row>
    <row r="99" spans="10:15">
      <c r="J99" s="15" t="str">
        <f t="shared" si="1"/>
        <v/>
      </c>
      <c r="L99" s="13"/>
      <c r="O99" s="13"/>
    </row>
    <row r="100" spans="10:15">
      <c r="J100" s="15" t="str">
        <f t="shared" si="1"/>
        <v/>
      </c>
      <c r="L100" s="13"/>
      <c r="O100" s="13"/>
    </row>
    <row r="101" spans="10:15">
      <c r="J101" s="15" t="str">
        <f t="shared" si="1"/>
        <v/>
      </c>
      <c r="L101" s="13"/>
      <c r="O101" s="13"/>
    </row>
    <row r="102" spans="10:15">
      <c r="J102" s="15" t="str">
        <f t="shared" si="1"/>
        <v/>
      </c>
      <c r="L102" s="13"/>
      <c r="O102" s="13"/>
    </row>
    <row r="103" spans="10:15">
      <c r="J103" s="15" t="str">
        <f t="shared" si="1"/>
        <v/>
      </c>
      <c r="L103" s="13"/>
      <c r="O103" s="13"/>
    </row>
    <row r="104" spans="10:15">
      <c r="J104" s="15" t="str">
        <f t="shared" si="1"/>
        <v/>
      </c>
      <c r="L104" s="13"/>
      <c r="O104" s="13"/>
    </row>
    <row r="105" spans="10:15">
      <c r="J105" s="15" t="str">
        <f t="shared" si="1"/>
        <v/>
      </c>
      <c r="L105" s="13"/>
      <c r="O105" s="13"/>
    </row>
    <row r="106" spans="10:15">
      <c r="J106" s="15" t="str">
        <f t="shared" si="1"/>
        <v/>
      </c>
      <c r="L106" s="13"/>
      <c r="O106" s="13"/>
    </row>
    <row r="107" spans="10:15">
      <c r="J107" s="15" t="str">
        <f t="shared" si="1"/>
        <v/>
      </c>
      <c r="L107" s="13"/>
      <c r="O107" s="13"/>
    </row>
    <row r="108" spans="10:15">
      <c r="J108" s="15" t="str">
        <f t="shared" si="1"/>
        <v/>
      </c>
      <c r="L108" s="13"/>
      <c r="O108" s="13"/>
    </row>
    <row r="109" spans="10:15">
      <c r="J109" s="15" t="str">
        <f t="shared" si="1"/>
        <v/>
      </c>
      <c r="L109" s="13"/>
      <c r="O109" s="13"/>
    </row>
    <row r="110" spans="10:15">
      <c r="J110" s="15" t="str">
        <f t="shared" si="1"/>
        <v/>
      </c>
      <c r="L110" s="13"/>
      <c r="O110" s="13"/>
    </row>
    <row r="111" spans="10:15">
      <c r="J111" s="15" t="str">
        <f t="shared" si="1"/>
        <v/>
      </c>
      <c r="L111" s="13"/>
      <c r="O111" s="13"/>
    </row>
    <row r="112" spans="10:15">
      <c r="J112" s="15" t="str">
        <f t="shared" si="1"/>
        <v/>
      </c>
      <c r="L112" s="13"/>
      <c r="O112" s="13"/>
    </row>
    <row r="113" spans="10:15">
      <c r="J113" s="15" t="str">
        <f t="shared" si="1"/>
        <v/>
      </c>
      <c r="L113" s="13"/>
      <c r="O113" s="13"/>
    </row>
    <row r="114" spans="10:15">
      <c r="J114" s="15" t="str">
        <f t="shared" si="1"/>
        <v/>
      </c>
      <c r="L114" s="13"/>
      <c r="O114" s="13"/>
    </row>
    <row r="115" spans="10:15">
      <c r="J115" s="15" t="str">
        <f t="shared" si="1"/>
        <v/>
      </c>
      <c r="L115" s="13"/>
      <c r="O115" s="13"/>
    </row>
    <row r="116" spans="10:15">
      <c r="J116" s="15" t="str">
        <f t="shared" si="1"/>
        <v/>
      </c>
      <c r="L116" s="13"/>
      <c r="O116" s="13"/>
    </row>
    <row r="117" spans="10:15">
      <c r="J117" s="15" t="str">
        <f t="shared" si="1"/>
        <v/>
      </c>
      <c r="L117" s="13"/>
      <c r="O117" s="13"/>
    </row>
    <row r="118" spans="10:15">
      <c r="J118" s="15" t="str">
        <f t="shared" si="1"/>
        <v/>
      </c>
      <c r="L118" s="13"/>
      <c r="O118" s="13"/>
    </row>
    <row r="119" spans="10:15">
      <c r="J119" s="15" t="str">
        <f t="shared" si="1"/>
        <v/>
      </c>
      <c r="L119" s="13"/>
      <c r="O119" s="13"/>
    </row>
    <row r="120" spans="10:15">
      <c r="J120" s="15" t="str">
        <f t="shared" si="1"/>
        <v/>
      </c>
      <c r="L120" s="13"/>
      <c r="O120" s="13"/>
    </row>
    <row r="121" spans="10:15">
      <c r="J121" s="15" t="str">
        <f t="shared" si="1"/>
        <v/>
      </c>
      <c r="L121" s="13"/>
      <c r="O121" s="13"/>
    </row>
    <row r="122" spans="10:15">
      <c r="J122" s="15" t="str">
        <f t="shared" si="1"/>
        <v/>
      </c>
      <c r="L122" s="13"/>
      <c r="O122" s="13"/>
    </row>
    <row r="123" spans="10:15">
      <c r="J123" s="15" t="str">
        <f t="shared" si="1"/>
        <v/>
      </c>
      <c r="L123" s="13"/>
      <c r="O123" s="13"/>
    </row>
    <row r="124" spans="10:15">
      <c r="J124" s="15" t="str">
        <f t="shared" si="1"/>
        <v/>
      </c>
      <c r="L124" s="13"/>
      <c r="O124" s="13"/>
    </row>
    <row r="125" spans="10:15">
      <c r="J125" s="15" t="str">
        <f t="shared" si="1"/>
        <v/>
      </c>
      <c r="L125" s="13"/>
      <c r="O125" s="13"/>
    </row>
    <row r="126" spans="10:15">
      <c r="J126" s="15" t="str">
        <f t="shared" si="1"/>
        <v/>
      </c>
      <c r="L126" s="13"/>
      <c r="O126" s="13"/>
    </row>
    <row r="127" spans="10:15">
      <c r="J127" s="15" t="str">
        <f t="shared" si="1"/>
        <v/>
      </c>
      <c r="L127" s="13"/>
      <c r="O127" s="13"/>
    </row>
    <row r="128" spans="10:15">
      <c r="J128" s="15" t="str">
        <f t="shared" si="1"/>
        <v/>
      </c>
      <c r="L128" s="13"/>
      <c r="O128" s="13"/>
    </row>
    <row r="129" spans="10:15">
      <c r="J129" s="15" t="str">
        <f t="shared" si="1"/>
        <v/>
      </c>
      <c r="L129" s="13"/>
      <c r="O129" s="13"/>
    </row>
    <row r="130" spans="10:15">
      <c r="J130" s="15" t="str">
        <f t="shared" si="1"/>
        <v/>
      </c>
      <c r="L130" s="13"/>
      <c r="O130" s="13"/>
    </row>
    <row r="131" spans="10:15">
      <c r="J131" s="15" t="str">
        <f t="shared" si="1"/>
        <v/>
      </c>
      <c r="L131" s="13"/>
      <c r="O131" s="13"/>
    </row>
    <row r="132" spans="10:15">
      <c r="J132" s="15" t="str">
        <f t="shared" ref="J132:J195" si="2">IF(A132="","",IFERROR(IF(I132="%",H132/G132,IF(G132=F132,0,(H132-F132)/(G132-F132))),0))</f>
        <v/>
      </c>
      <c r="L132" s="13"/>
      <c r="O132" s="13"/>
    </row>
    <row r="133" spans="10:15">
      <c r="J133" s="15" t="str">
        <f t="shared" si="2"/>
        <v/>
      </c>
      <c r="L133" s="13"/>
      <c r="O133" s="13"/>
    </row>
    <row r="134" spans="10:15">
      <c r="J134" s="15" t="str">
        <f t="shared" si="2"/>
        <v/>
      </c>
      <c r="L134" s="13"/>
      <c r="O134" s="13"/>
    </row>
    <row r="135" spans="10:15">
      <c r="J135" s="15" t="str">
        <f t="shared" si="2"/>
        <v/>
      </c>
      <c r="L135" s="13"/>
      <c r="O135" s="13"/>
    </row>
    <row r="136" spans="10:15">
      <c r="J136" s="15" t="str">
        <f t="shared" si="2"/>
        <v/>
      </c>
      <c r="L136" s="13"/>
      <c r="O136" s="13"/>
    </row>
    <row r="137" spans="10:15">
      <c r="J137" s="15" t="str">
        <f t="shared" si="2"/>
        <v/>
      </c>
      <c r="L137" s="13"/>
      <c r="O137" s="13"/>
    </row>
    <row r="138" spans="10:15">
      <c r="J138" s="15" t="str">
        <f t="shared" si="2"/>
        <v/>
      </c>
      <c r="L138" s="13"/>
      <c r="O138" s="13"/>
    </row>
    <row r="139" spans="10:15">
      <c r="J139" s="15" t="str">
        <f t="shared" si="2"/>
        <v/>
      </c>
      <c r="L139" s="13"/>
      <c r="O139" s="13"/>
    </row>
    <row r="140" spans="10:15">
      <c r="J140" s="15" t="str">
        <f t="shared" si="2"/>
        <v/>
      </c>
      <c r="L140" s="13"/>
      <c r="O140" s="13"/>
    </row>
    <row r="141" spans="10:15">
      <c r="J141" s="15" t="str">
        <f t="shared" si="2"/>
        <v/>
      </c>
      <c r="L141" s="13"/>
      <c r="O141" s="13"/>
    </row>
    <row r="142" spans="10:15">
      <c r="J142" s="15" t="str">
        <f t="shared" si="2"/>
        <v/>
      </c>
      <c r="L142" s="13"/>
      <c r="O142" s="13"/>
    </row>
    <row r="143" spans="10:15">
      <c r="J143" s="15" t="str">
        <f t="shared" si="2"/>
        <v/>
      </c>
      <c r="L143" s="13"/>
      <c r="O143" s="13"/>
    </row>
    <row r="144" spans="10:15">
      <c r="J144" s="15" t="str">
        <f t="shared" si="2"/>
        <v/>
      </c>
      <c r="L144" s="13"/>
      <c r="O144" s="13"/>
    </row>
    <row r="145" spans="10:15">
      <c r="J145" s="15" t="str">
        <f t="shared" si="2"/>
        <v/>
      </c>
      <c r="L145" s="13"/>
      <c r="O145" s="13"/>
    </row>
    <row r="146" spans="10:15">
      <c r="J146" s="15" t="str">
        <f t="shared" si="2"/>
        <v/>
      </c>
      <c r="L146" s="13"/>
      <c r="O146" s="13"/>
    </row>
    <row r="147" spans="10:15">
      <c r="J147" s="15" t="str">
        <f t="shared" si="2"/>
        <v/>
      </c>
      <c r="L147" s="13"/>
      <c r="O147" s="13"/>
    </row>
    <row r="148" spans="10:15">
      <c r="J148" s="15" t="str">
        <f t="shared" si="2"/>
        <v/>
      </c>
      <c r="L148" s="13"/>
      <c r="O148" s="13"/>
    </row>
    <row r="149" spans="10:15">
      <c r="J149" s="15" t="str">
        <f t="shared" si="2"/>
        <v/>
      </c>
      <c r="L149" s="13"/>
      <c r="O149" s="13"/>
    </row>
    <row r="150" spans="10:15">
      <c r="J150" s="15" t="str">
        <f t="shared" si="2"/>
        <v/>
      </c>
      <c r="L150" s="13"/>
      <c r="O150" s="13"/>
    </row>
    <row r="151" spans="10:15">
      <c r="J151" s="15" t="str">
        <f t="shared" si="2"/>
        <v/>
      </c>
      <c r="L151" s="13"/>
      <c r="O151" s="13"/>
    </row>
    <row r="152" spans="10:15">
      <c r="J152" s="15" t="str">
        <f t="shared" si="2"/>
        <v/>
      </c>
      <c r="L152" s="13"/>
      <c r="O152" s="13"/>
    </row>
    <row r="153" spans="10:15">
      <c r="J153" s="15" t="str">
        <f t="shared" si="2"/>
        <v/>
      </c>
      <c r="L153" s="13"/>
      <c r="O153" s="13"/>
    </row>
    <row r="154" spans="10:15">
      <c r="J154" s="15" t="str">
        <f t="shared" si="2"/>
        <v/>
      </c>
      <c r="L154" s="13"/>
      <c r="O154" s="13"/>
    </row>
    <row r="155" spans="10:15">
      <c r="J155" s="15" t="str">
        <f t="shared" si="2"/>
        <v/>
      </c>
      <c r="L155" s="13"/>
      <c r="O155" s="13"/>
    </row>
    <row r="156" spans="10:15">
      <c r="J156" s="15" t="str">
        <f t="shared" si="2"/>
        <v/>
      </c>
      <c r="L156" s="13"/>
      <c r="O156" s="13"/>
    </row>
    <row r="157" spans="10:15">
      <c r="J157" s="15" t="str">
        <f t="shared" si="2"/>
        <v/>
      </c>
      <c r="L157" s="13"/>
      <c r="O157" s="13"/>
    </row>
    <row r="158" spans="10:15">
      <c r="J158" s="15" t="str">
        <f t="shared" si="2"/>
        <v/>
      </c>
      <c r="L158" s="13"/>
      <c r="O158" s="13"/>
    </row>
    <row r="159" spans="10:15">
      <c r="J159" s="15" t="str">
        <f t="shared" si="2"/>
        <v/>
      </c>
      <c r="L159" s="13"/>
      <c r="O159" s="13"/>
    </row>
    <row r="160" spans="10:15">
      <c r="J160" s="15" t="str">
        <f t="shared" si="2"/>
        <v/>
      </c>
      <c r="L160" s="13"/>
      <c r="O160" s="13"/>
    </row>
    <row r="161" spans="10:15">
      <c r="J161" s="15" t="str">
        <f t="shared" si="2"/>
        <v/>
      </c>
      <c r="L161" s="13"/>
      <c r="O161" s="13"/>
    </row>
    <row r="162" spans="10:15">
      <c r="J162" s="15" t="str">
        <f t="shared" si="2"/>
        <v/>
      </c>
      <c r="L162" s="13"/>
      <c r="O162" s="13"/>
    </row>
    <row r="163" spans="10:15">
      <c r="J163" s="15" t="str">
        <f t="shared" si="2"/>
        <v/>
      </c>
      <c r="L163" s="13"/>
      <c r="O163" s="13"/>
    </row>
    <row r="164" spans="10:15">
      <c r="J164" s="15" t="str">
        <f t="shared" si="2"/>
        <v/>
      </c>
      <c r="L164" s="13"/>
      <c r="O164" s="13"/>
    </row>
    <row r="165" spans="10:15">
      <c r="J165" s="15" t="str">
        <f t="shared" si="2"/>
        <v/>
      </c>
      <c r="L165" s="13"/>
      <c r="O165" s="13"/>
    </row>
    <row r="166" spans="10:15">
      <c r="J166" s="15" t="str">
        <f t="shared" si="2"/>
        <v/>
      </c>
      <c r="L166" s="13"/>
      <c r="O166" s="13"/>
    </row>
    <row r="167" spans="10:15">
      <c r="J167" s="15" t="str">
        <f t="shared" si="2"/>
        <v/>
      </c>
      <c r="L167" s="13"/>
      <c r="O167" s="13"/>
    </row>
    <row r="168" spans="10:15">
      <c r="J168" s="15" t="str">
        <f t="shared" si="2"/>
        <v/>
      </c>
      <c r="L168" s="13"/>
      <c r="O168" s="13"/>
    </row>
    <row r="169" spans="10:15">
      <c r="J169" s="15" t="str">
        <f t="shared" si="2"/>
        <v/>
      </c>
      <c r="L169" s="13"/>
      <c r="O169" s="13"/>
    </row>
    <row r="170" spans="10:15">
      <c r="J170" s="15" t="str">
        <f t="shared" si="2"/>
        <v/>
      </c>
      <c r="L170" s="13"/>
      <c r="O170" s="13"/>
    </row>
    <row r="171" spans="10:15">
      <c r="J171" s="15" t="str">
        <f t="shared" si="2"/>
        <v/>
      </c>
      <c r="L171" s="13"/>
      <c r="O171" s="13"/>
    </row>
    <row r="172" spans="10:15">
      <c r="J172" s="15" t="str">
        <f t="shared" si="2"/>
        <v/>
      </c>
      <c r="L172" s="13"/>
      <c r="O172" s="13"/>
    </row>
    <row r="173" spans="10:15">
      <c r="J173" s="15" t="str">
        <f t="shared" si="2"/>
        <v/>
      </c>
      <c r="L173" s="13"/>
      <c r="O173" s="13"/>
    </row>
    <row r="174" spans="10:15">
      <c r="J174" s="15" t="str">
        <f t="shared" si="2"/>
        <v/>
      </c>
      <c r="L174" s="13"/>
      <c r="O174" s="13"/>
    </row>
    <row r="175" spans="10:15">
      <c r="J175" s="15" t="str">
        <f t="shared" si="2"/>
        <v/>
      </c>
      <c r="L175" s="13"/>
      <c r="O175" s="13"/>
    </row>
    <row r="176" spans="10:15">
      <c r="J176" s="15" t="str">
        <f t="shared" si="2"/>
        <v/>
      </c>
      <c r="L176" s="13"/>
      <c r="O176" s="13"/>
    </row>
    <row r="177" spans="10:15">
      <c r="J177" s="15" t="str">
        <f t="shared" si="2"/>
        <v/>
      </c>
      <c r="L177" s="13"/>
      <c r="O177" s="13"/>
    </row>
    <row r="178" spans="10:15">
      <c r="J178" s="15" t="str">
        <f t="shared" si="2"/>
        <v/>
      </c>
      <c r="L178" s="13"/>
      <c r="O178" s="13"/>
    </row>
    <row r="179" spans="10:15">
      <c r="J179" s="15" t="str">
        <f t="shared" si="2"/>
        <v/>
      </c>
      <c r="L179" s="13"/>
      <c r="O179" s="13"/>
    </row>
    <row r="180" spans="10:15">
      <c r="J180" s="15" t="str">
        <f t="shared" si="2"/>
        <v/>
      </c>
      <c r="L180" s="13"/>
      <c r="O180" s="13"/>
    </row>
    <row r="181" spans="10:15">
      <c r="J181" s="15" t="str">
        <f t="shared" si="2"/>
        <v/>
      </c>
      <c r="L181" s="13"/>
      <c r="O181" s="13"/>
    </row>
    <row r="182" spans="10:15">
      <c r="J182" s="15" t="str">
        <f t="shared" si="2"/>
        <v/>
      </c>
      <c r="L182" s="13"/>
      <c r="O182" s="13"/>
    </row>
    <row r="183" spans="10:15">
      <c r="J183" s="15" t="str">
        <f t="shared" si="2"/>
        <v/>
      </c>
      <c r="L183" s="13"/>
      <c r="O183" s="13"/>
    </row>
    <row r="184" spans="10:15">
      <c r="J184" s="15" t="str">
        <f t="shared" si="2"/>
        <v/>
      </c>
      <c r="L184" s="13"/>
      <c r="O184" s="13"/>
    </row>
    <row r="185" spans="10:15">
      <c r="J185" s="15" t="str">
        <f t="shared" si="2"/>
        <v/>
      </c>
      <c r="L185" s="13"/>
      <c r="O185" s="13"/>
    </row>
    <row r="186" spans="10:15">
      <c r="J186" s="15" t="str">
        <f t="shared" si="2"/>
        <v/>
      </c>
      <c r="L186" s="13"/>
      <c r="O186" s="13"/>
    </row>
    <row r="187" spans="10:15">
      <c r="J187" s="15" t="str">
        <f t="shared" si="2"/>
        <v/>
      </c>
      <c r="L187" s="13"/>
      <c r="O187" s="13"/>
    </row>
    <row r="188" spans="10:15">
      <c r="J188" s="15" t="str">
        <f t="shared" si="2"/>
        <v/>
      </c>
      <c r="L188" s="13"/>
      <c r="O188" s="13"/>
    </row>
    <row r="189" spans="10:15">
      <c r="J189" s="15" t="str">
        <f t="shared" si="2"/>
        <v/>
      </c>
      <c r="L189" s="13"/>
      <c r="O189" s="13"/>
    </row>
    <row r="190" spans="10:15">
      <c r="J190" s="15" t="str">
        <f t="shared" si="2"/>
        <v/>
      </c>
      <c r="L190" s="13"/>
      <c r="O190" s="13"/>
    </row>
    <row r="191" spans="10:15">
      <c r="J191" s="15" t="str">
        <f t="shared" si="2"/>
        <v/>
      </c>
      <c r="L191" s="13"/>
      <c r="O191" s="13"/>
    </row>
    <row r="192" spans="10:15">
      <c r="J192" s="15" t="str">
        <f t="shared" si="2"/>
        <v/>
      </c>
      <c r="L192" s="13"/>
      <c r="O192" s="13"/>
    </row>
    <row r="193" spans="10:15">
      <c r="J193" s="15" t="str">
        <f t="shared" si="2"/>
        <v/>
      </c>
      <c r="L193" s="13"/>
      <c r="O193" s="13"/>
    </row>
    <row r="194" spans="10:15">
      <c r="J194" s="15" t="str">
        <f t="shared" si="2"/>
        <v/>
      </c>
      <c r="L194" s="13"/>
      <c r="O194" s="13"/>
    </row>
    <row r="195" spans="10:15">
      <c r="J195" s="15" t="str">
        <f t="shared" si="2"/>
        <v/>
      </c>
      <c r="L195" s="13"/>
      <c r="O195" s="13"/>
    </row>
    <row r="196" spans="10:15">
      <c r="J196" s="15" t="str">
        <f t="shared" ref="J196:J259" si="3">IF(A196="","",IFERROR(IF(I196="%",H196/G196,IF(G196=F196,0,(H196-F196)/(G196-F196))),0))</f>
        <v/>
      </c>
      <c r="L196" s="13"/>
      <c r="O196" s="13"/>
    </row>
    <row r="197" spans="10:15">
      <c r="J197" s="15" t="str">
        <f t="shared" si="3"/>
        <v/>
      </c>
      <c r="L197" s="13"/>
      <c r="O197" s="13"/>
    </row>
    <row r="198" spans="10:15">
      <c r="J198" s="15" t="str">
        <f t="shared" si="3"/>
        <v/>
      </c>
      <c r="L198" s="13"/>
      <c r="O198" s="13"/>
    </row>
    <row r="199" spans="10:15">
      <c r="J199" s="15" t="str">
        <f t="shared" si="3"/>
        <v/>
      </c>
      <c r="L199" s="13"/>
      <c r="O199" s="13"/>
    </row>
    <row r="200" spans="10:15">
      <c r="J200" s="15" t="str">
        <f t="shared" si="3"/>
        <v/>
      </c>
      <c r="L200" s="13"/>
      <c r="O200" s="13"/>
    </row>
    <row r="201" spans="10:15">
      <c r="J201" s="15" t="str">
        <f t="shared" si="3"/>
        <v/>
      </c>
      <c r="L201" s="13"/>
      <c r="O201" s="13"/>
    </row>
    <row r="202" spans="10:15">
      <c r="J202" s="15" t="str">
        <f t="shared" si="3"/>
        <v/>
      </c>
      <c r="L202" s="13"/>
      <c r="O202" s="13"/>
    </row>
    <row r="203" spans="10:15">
      <c r="J203" s="15" t="str">
        <f t="shared" si="3"/>
        <v/>
      </c>
      <c r="L203" s="13"/>
      <c r="O203" s="13"/>
    </row>
    <row r="204" spans="10:15">
      <c r="J204" s="15" t="str">
        <f t="shared" si="3"/>
        <v/>
      </c>
      <c r="L204" s="13"/>
      <c r="O204" s="13"/>
    </row>
    <row r="205" spans="10:15">
      <c r="J205" s="15" t="str">
        <f t="shared" si="3"/>
        <v/>
      </c>
      <c r="L205" s="13"/>
      <c r="O205" s="13"/>
    </row>
    <row r="206" spans="10:15">
      <c r="J206" s="15" t="str">
        <f t="shared" si="3"/>
        <v/>
      </c>
      <c r="L206" s="13"/>
      <c r="O206" s="13"/>
    </row>
    <row r="207" spans="10:15">
      <c r="J207" s="15" t="str">
        <f t="shared" si="3"/>
        <v/>
      </c>
      <c r="L207" s="13"/>
      <c r="O207" s="13"/>
    </row>
    <row r="208" spans="10:15">
      <c r="J208" s="15" t="str">
        <f t="shared" si="3"/>
        <v/>
      </c>
      <c r="L208" s="13"/>
      <c r="O208" s="13"/>
    </row>
    <row r="209" spans="10:15">
      <c r="J209" s="15" t="str">
        <f t="shared" si="3"/>
        <v/>
      </c>
      <c r="L209" s="13"/>
      <c r="O209" s="13"/>
    </row>
    <row r="210" spans="10:15">
      <c r="J210" s="15" t="str">
        <f t="shared" si="3"/>
        <v/>
      </c>
      <c r="L210" s="13"/>
      <c r="O210" s="13"/>
    </row>
    <row r="211" spans="10:15">
      <c r="J211" s="15" t="str">
        <f t="shared" si="3"/>
        <v/>
      </c>
      <c r="L211" s="13"/>
      <c r="O211" s="13"/>
    </row>
    <row r="212" spans="10:15">
      <c r="J212" s="15" t="str">
        <f t="shared" si="3"/>
        <v/>
      </c>
      <c r="L212" s="13"/>
      <c r="O212" s="13"/>
    </row>
    <row r="213" spans="10:15">
      <c r="J213" s="15" t="str">
        <f t="shared" si="3"/>
        <v/>
      </c>
      <c r="L213" s="13"/>
      <c r="O213" s="13"/>
    </row>
    <row r="214" spans="10:15">
      <c r="J214" s="15" t="str">
        <f t="shared" si="3"/>
        <v/>
      </c>
      <c r="L214" s="13"/>
      <c r="O214" s="13"/>
    </row>
    <row r="215" spans="10:15">
      <c r="J215" s="15" t="str">
        <f t="shared" si="3"/>
        <v/>
      </c>
      <c r="L215" s="13"/>
      <c r="O215" s="13"/>
    </row>
    <row r="216" spans="10:15">
      <c r="J216" s="15" t="str">
        <f t="shared" si="3"/>
        <v/>
      </c>
      <c r="L216" s="13"/>
      <c r="O216" s="13"/>
    </row>
    <row r="217" spans="10:15">
      <c r="J217" s="15" t="str">
        <f t="shared" si="3"/>
        <v/>
      </c>
      <c r="L217" s="13"/>
      <c r="O217" s="13"/>
    </row>
    <row r="218" spans="10:15">
      <c r="J218" s="15" t="str">
        <f t="shared" si="3"/>
        <v/>
      </c>
      <c r="L218" s="13"/>
      <c r="O218" s="13"/>
    </row>
    <row r="219" spans="10:15">
      <c r="J219" s="15" t="str">
        <f t="shared" si="3"/>
        <v/>
      </c>
      <c r="L219" s="13"/>
      <c r="O219" s="13"/>
    </row>
    <row r="220" spans="10:15">
      <c r="J220" s="15" t="str">
        <f t="shared" si="3"/>
        <v/>
      </c>
      <c r="L220" s="13"/>
      <c r="O220" s="13"/>
    </row>
    <row r="221" spans="10:15">
      <c r="J221" s="15" t="str">
        <f t="shared" si="3"/>
        <v/>
      </c>
      <c r="L221" s="13"/>
      <c r="O221" s="13"/>
    </row>
    <row r="222" spans="10:15">
      <c r="J222" s="15" t="str">
        <f t="shared" si="3"/>
        <v/>
      </c>
      <c r="L222" s="13"/>
      <c r="O222" s="13"/>
    </row>
    <row r="223" spans="10:15">
      <c r="J223" s="15" t="str">
        <f t="shared" si="3"/>
        <v/>
      </c>
      <c r="L223" s="13"/>
      <c r="O223" s="13"/>
    </row>
    <row r="224" spans="10:15">
      <c r="J224" s="15" t="str">
        <f t="shared" si="3"/>
        <v/>
      </c>
      <c r="L224" s="13"/>
      <c r="O224" s="13"/>
    </row>
    <row r="225" spans="10:15">
      <c r="J225" s="15" t="str">
        <f t="shared" si="3"/>
        <v/>
      </c>
      <c r="L225" s="13"/>
      <c r="O225" s="13"/>
    </row>
    <row r="226" spans="10:15">
      <c r="J226" s="15" t="str">
        <f t="shared" si="3"/>
        <v/>
      </c>
      <c r="L226" s="13"/>
      <c r="O226" s="13"/>
    </row>
    <row r="227" spans="10:15">
      <c r="J227" s="15" t="str">
        <f t="shared" si="3"/>
        <v/>
      </c>
      <c r="L227" s="13"/>
      <c r="O227" s="13"/>
    </row>
    <row r="228" spans="10:15">
      <c r="J228" s="15" t="str">
        <f t="shared" si="3"/>
        <v/>
      </c>
      <c r="L228" s="13"/>
      <c r="O228" s="13"/>
    </row>
    <row r="229" spans="10:15">
      <c r="J229" s="15" t="str">
        <f t="shared" si="3"/>
        <v/>
      </c>
      <c r="L229" s="13"/>
      <c r="O229" s="13"/>
    </row>
    <row r="230" spans="10:15">
      <c r="J230" s="15" t="str">
        <f t="shared" si="3"/>
        <v/>
      </c>
      <c r="L230" s="13"/>
      <c r="O230" s="13"/>
    </row>
    <row r="231" spans="10:15">
      <c r="J231" s="15" t="str">
        <f t="shared" si="3"/>
        <v/>
      </c>
      <c r="L231" s="13"/>
      <c r="O231" s="13"/>
    </row>
    <row r="232" spans="10:15">
      <c r="J232" s="15" t="str">
        <f t="shared" si="3"/>
        <v/>
      </c>
      <c r="L232" s="13"/>
      <c r="O232" s="13"/>
    </row>
    <row r="233" spans="10:15">
      <c r="J233" s="15" t="str">
        <f t="shared" si="3"/>
        <v/>
      </c>
      <c r="L233" s="13"/>
      <c r="O233" s="13"/>
    </row>
    <row r="234" spans="10:15">
      <c r="J234" s="15" t="str">
        <f t="shared" si="3"/>
        <v/>
      </c>
      <c r="L234" s="13"/>
      <c r="O234" s="13"/>
    </row>
    <row r="235" spans="10:15">
      <c r="J235" s="15" t="str">
        <f t="shared" si="3"/>
        <v/>
      </c>
      <c r="L235" s="13"/>
      <c r="O235" s="13"/>
    </row>
    <row r="236" spans="10:15">
      <c r="J236" s="15" t="str">
        <f t="shared" si="3"/>
        <v/>
      </c>
      <c r="L236" s="13"/>
      <c r="O236" s="13"/>
    </row>
    <row r="237" spans="10:15">
      <c r="J237" s="15" t="str">
        <f t="shared" si="3"/>
        <v/>
      </c>
      <c r="L237" s="13"/>
      <c r="O237" s="13"/>
    </row>
    <row r="238" spans="10:15">
      <c r="J238" s="15" t="str">
        <f t="shared" si="3"/>
        <v/>
      </c>
      <c r="L238" s="13"/>
      <c r="O238" s="13"/>
    </row>
    <row r="239" spans="10:15">
      <c r="J239" s="15" t="str">
        <f t="shared" si="3"/>
        <v/>
      </c>
      <c r="L239" s="13"/>
      <c r="O239" s="13"/>
    </row>
    <row r="240" spans="10:15">
      <c r="J240" s="15" t="str">
        <f t="shared" si="3"/>
        <v/>
      </c>
      <c r="L240" s="13"/>
      <c r="O240" s="13"/>
    </row>
    <row r="241" spans="10:15">
      <c r="J241" s="15" t="str">
        <f t="shared" si="3"/>
        <v/>
      </c>
      <c r="L241" s="13"/>
      <c r="O241" s="13"/>
    </row>
    <row r="242" spans="10:15">
      <c r="J242" s="15" t="str">
        <f t="shared" si="3"/>
        <v/>
      </c>
      <c r="L242" s="13"/>
      <c r="O242" s="13"/>
    </row>
    <row r="243" spans="10:15">
      <c r="J243" s="15" t="str">
        <f t="shared" si="3"/>
        <v/>
      </c>
      <c r="L243" s="13"/>
      <c r="O243" s="13"/>
    </row>
    <row r="244" spans="10:15">
      <c r="J244" s="15" t="str">
        <f t="shared" si="3"/>
        <v/>
      </c>
      <c r="L244" s="13"/>
      <c r="O244" s="13"/>
    </row>
    <row r="245" spans="10:15">
      <c r="J245" s="15" t="str">
        <f t="shared" si="3"/>
        <v/>
      </c>
      <c r="L245" s="13"/>
      <c r="O245" s="13"/>
    </row>
    <row r="246" spans="10:15">
      <c r="J246" s="15" t="str">
        <f t="shared" si="3"/>
        <v/>
      </c>
      <c r="L246" s="13"/>
      <c r="O246" s="13"/>
    </row>
    <row r="247" spans="10:15">
      <c r="J247" s="15" t="str">
        <f t="shared" si="3"/>
        <v/>
      </c>
      <c r="L247" s="13"/>
      <c r="O247" s="13"/>
    </row>
    <row r="248" spans="10:15">
      <c r="J248" s="15" t="str">
        <f t="shared" si="3"/>
        <v/>
      </c>
      <c r="L248" s="13"/>
      <c r="O248" s="13"/>
    </row>
    <row r="249" spans="10:15">
      <c r="J249" s="15" t="str">
        <f t="shared" si="3"/>
        <v/>
      </c>
      <c r="L249" s="13"/>
      <c r="O249" s="13"/>
    </row>
    <row r="250" spans="10:15">
      <c r="J250" s="15" t="str">
        <f t="shared" si="3"/>
        <v/>
      </c>
      <c r="L250" s="13"/>
      <c r="O250" s="13"/>
    </row>
    <row r="251" spans="10:15">
      <c r="J251" s="15" t="str">
        <f t="shared" si="3"/>
        <v/>
      </c>
      <c r="L251" s="13"/>
      <c r="O251" s="13"/>
    </row>
    <row r="252" spans="10:15">
      <c r="J252" s="15" t="str">
        <f t="shared" si="3"/>
        <v/>
      </c>
      <c r="L252" s="13"/>
      <c r="O252" s="13"/>
    </row>
    <row r="253" spans="10:15">
      <c r="J253" s="15" t="str">
        <f t="shared" si="3"/>
        <v/>
      </c>
      <c r="L253" s="13"/>
      <c r="O253" s="13"/>
    </row>
    <row r="254" spans="10:15">
      <c r="J254" s="15" t="str">
        <f t="shared" si="3"/>
        <v/>
      </c>
      <c r="L254" s="13"/>
      <c r="O254" s="13"/>
    </row>
    <row r="255" spans="10:15">
      <c r="J255" s="15" t="str">
        <f t="shared" si="3"/>
        <v/>
      </c>
      <c r="L255" s="13"/>
      <c r="O255" s="13"/>
    </row>
    <row r="256" spans="10:15">
      <c r="J256" s="15" t="str">
        <f t="shared" si="3"/>
        <v/>
      </c>
      <c r="L256" s="13"/>
      <c r="O256" s="13"/>
    </row>
    <row r="257" spans="10:15">
      <c r="J257" s="15" t="str">
        <f t="shared" si="3"/>
        <v/>
      </c>
      <c r="L257" s="13"/>
      <c r="O257" s="13"/>
    </row>
    <row r="258" spans="10:15">
      <c r="J258" s="15" t="str">
        <f t="shared" si="3"/>
        <v/>
      </c>
      <c r="L258" s="13"/>
      <c r="O258" s="13"/>
    </row>
    <row r="259" spans="10:15">
      <c r="J259" s="15" t="str">
        <f t="shared" si="3"/>
        <v/>
      </c>
      <c r="L259" s="13"/>
      <c r="O259" s="13"/>
    </row>
    <row r="260" spans="10:15">
      <c r="J260" s="15" t="str">
        <f t="shared" ref="J260:J323" si="4">IF(A260="","",IFERROR(IF(I260="%",H260/G260,IF(G260=F260,0,(H260-F260)/(G260-F260))),0))</f>
        <v/>
      </c>
      <c r="L260" s="13"/>
      <c r="O260" s="13"/>
    </row>
    <row r="261" spans="10:15">
      <c r="J261" s="15" t="str">
        <f t="shared" si="4"/>
        <v/>
      </c>
      <c r="L261" s="13"/>
      <c r="O261" s="13"/>
    </row>
    <row r="262" spans="10:15">
      <c r="J262" s="15" t="str">
        <f t="shared" si="4"/>
        <v/>
      </c>
      <c r="L262" s="13"/>
      <c r="O262" s="13"/>
    </row>
    <row r="263" spans="10:15">
      <c r="J263" s="15" t="str">
        <f t="shared" si="4"/>
        <v/>
      </c>
      <c r="L263" s="13"/>
      <c r="O263" s="13"/>
    </row>
    <row r="264" spans="10:15">
      <c r="J264" s="15" t="str">
        <f t="shared" si="4"/>
        <v/>
      </c>
      <c r="L264" s="13"/>
      <c r="O264" s="13"/>
    </row>
    <row r="265" spans="10:15">
      <c r="J265" s="15" t="str">
        <f t="shared" si="4"/>
        <v/>
      </c>
      <c r="L265" s="13"/>
      <c r="O265" s="13"/>
    </row>
    <row r="266" spans="10:15">
      <c r="J266" s="15" t="str">
        <f t="shared" si="4"/>
        <v/>
      </c>
      <c r="L266" s="13"/>
      <c r="O266" s="13"/>
    </row>
    <row r="267" spans="10:15">
      <c r="J267" s="15" t="str">
        <f t="shared" si="4"/>
        <v/>
      </c>
      <c r="L267" s="13"/>
      <c r="O267" s="13"/>
    </row>
    <row r="268" spans="10:15">
      <c r="J268" s="15" t="str">
        <f t="shared" si="4"/>
        <v/>
      </c>
      <c r="L268" s="13"/>
      <c r="O268" s="13"/>
    </row>
    <row r="269" spans="10:15">
      <c r="J269" s="15" t="str">
        <f t="shared" si="4"/>
        <v/>
      </c>
      <c r="L269" s="13"/>
      <c r="O269" s="13"/>
    </row>
    <row r="270" spans="10:15">
      <c r="J270" s="15" t="str">
        <f t="shared" si="4"/>
        <v/>
      </c>
      <c r="L270" s="13"/>
      <c r="O270" s="13"/>
    </row>
    <row r="271" spans="10:15">
      <c r="J271" s="15" t="str">
        <f t="shared" si="4"/>
        <v/>
      </c>
      <c r="L271" s="13"/>
      <c r="O271" s="13"/>
    </row>
    <row r="272" spans="10:15">
      <c r="J272" s="15" t="str">
        <f t="shared" si="4"/>
        <v/>
      </c>
      <c r="L272" s="13"/>
      <c r="O272" s="13"/>
    </row>
    <row r="273" spans="10:15">
      <c r="J273" s="15" t="str">
        <f t="shared" si="4"/>
        <v/>
      </c>
      <c r="L273" s="13"/>
      <c r="O273" s="13"/>
    </row>
    <row r="274" spans="10:15">
      <c r="J274" s="15" t="str">
        <f t="shared" si="4"/>
        <v/>
      </c>
      <c r="L274" s="13"/>
      <c r="O274" s="13"/>
    </row>
    <row r="275" spans="10:15">
      <c r="J275" s="15" t="str">
        <f t="shared" si="4"/>
        <v/>
      </c>
      <c r="L275" s="13"/>
      <c r="O275" s="13"/>
    </row>
    <row r="276" spans="10:15">
      <c r="J276" s="15" t="str">
        <f t="shared" si="4"/>
        <v/>
      </c>
      <c r="L276" s="13"/>
      <c r="O276" s="13"/>
    </row>
    <row r="277" spans="10:15">
      <c r="J277" s="15" t="str">
        <f t="shared" si="4"/>
        <v/>
      </c>
      <c r="L277" s="13"/>
      <c r="O277" s="13"/>
    </row>
    <row r="278" spans="10:15">
      <c r="J278" s="15" t="str">
        <f t="shared" si="4"/>
        <v/>
      </c>
      <c r="L278" s="13"/>
      <c r="O278" s="13"/>
    </row>
    <row r="279" spans="10:15">
      <c r="J279" s="15" t="str">
        <f t="shared" si="4"/>
        <v/>
      </c>
      <c r="L279" s="13"/>
      <c r="O279" s="13"/>
    </row>
    <row r="280" spans="10:15">
      <c r="J280" s="15" t="str">
        <f t="shared" si="4"/>
        <v/>
      </c>
      <c r="L280" s="13"/>
      <c r="O280" s="13"/>
    </row>
    <row r="281" spans="10:15">
      <c r="J281" s="15" t="str">
        <f t="shared" si="4"/>
        <v/>
      </c>
      <c r="L281" s="13"/>
      <c r="O281" s="13"/>
    </row>
    <row r="282" spans="10:15">
      <c r="J282" s="15" t="str">
        <f t="shared" si="4"/>
        <v/>
      </c>
      <c r="L282" s="13"/>
      <c r="O282" s="13"/>
    </row>
    <row r="283" spans="10:15">
      <c r="J283" s="15" t="str">
        <f t="shared" si="4"/>
        <v/>
      </c>
      <c r="L283" s="13"/>
      <c r="O283" s="13"/>
    </row>
    <row r="284" spans="10:15">
      <c r="J284" s="15" t="str">
        <f t="shared" si="4"/>
        <v/>
      </c>
      <c r="L284" s="13"/>
      <c r="O284" s="13"/>
    </row>
    <row r="285" spans="10:15">
      <c r="J285" s="15" t="str">
        <f t="shared" si="4"/>
        <v/>
      </c>
      <c r="L285" s="13"/>
      <c r="O285" s="13"/>
    </row>
    <row r="286" spans="10:15">
      <c r="J286" s="15" t="str">
        <f t="shared" si="4"/>
        <v/>
      </c>
      <c r="L286" s="13"/>
      <c r="O286" s="13"/>
    </row>
    <row r="287" spans="10:15">
      <c r="J287" s="15" t="str">
        <f t="shared" si="4"/>
        <v/>
      </c>
      <c r="L287" s="13"/>
      <c r="O287" s="13"/>
    </row>
    <row r="288" spans="10:15">
      <c r="J288" s="15" t="str">
        <f t="shared" si="4"/>
        <v/>
      </c>
      <c r="L288" s="13"/>
      <c r="O288" s="13"/>
    </row>
    <row r="289" spans="10:15">
      <c r="J289" s="15" t="str">
        <f t="shared" si="4"/>
        <v/>
      </c>
      <c r="L289" s="13"/>
      <c r="O289" s="13"/>
    </row>
    <row r="290" spans="10:15">
      <c r="J290" s="15" t="str">
        <f t="shared" si="4"/>
        <v/>
      </c>
      <c r="L290" s="13"/>
      <c r="O290" s="13"/>
    </row>
    <row r="291" spans="10:15">
      <c r="J291" s="15" t="str">
        <f t="shared" si="4"/>
        <v/>
      </c>
      <c r="L291" s="13"/>
      <c r="O291" s="13"/>
    </row>
    <row r="292" spans="10:15">
      <c r="J292" s="15" t="str">
        <f t="shared" si="4"/>
        <v/>
      </c>
      <c r="L292" s="13"/>
      <c r="O292" s="13"/>
    </row>
    <row r="293" spans="10:15">
      <c r="J293" s="15" t="str">
        <f t="shared" si="4"/>
        <v/>
      </c>
      <c r="L293" s="13"/>
      <c r="O293" s="13"/>
    </row>
    <row r="294" spans="10:15">
      <c r="J294" s="15" t="str">
        <f t="shared" si="4"/>
        <v/>
      </c>
      <c r="L294" s="13"/>
      <c r="O294" s="13"/>
    </row>
    <row r="295" spans="10:15">
      <c r="J295" s="15" t="str">
        <f t="shared" si="4"/>
        <v/>
      </c>
      <c r="L295" s="13"/>
      <c r="O295" s="13"/>
    </row>
    <row r="296" spans="10:15">
      <c r="J296" s="15" t="str">
        <f t="shared" si="4"/>
        <v/>
      </c>
      <c r="L296" s="13"/>
      <c r="O296" s="13"/>
    </row>
    <row r="297" spans="10:15">
      <c r="J297" s="15" t="str">
        <f t="shared" si="4"/>
        <v/>
      </c>
      <c r="L297" s="13"/>
      <c r="O297" s="13"/>
    </row>
    <row r="298" spans="10:15">
      <c r="J298" s="15" t="str">
        <f t="shared" si="4"/>
        <v/>
      </c>
      <c r="L298" s="13"/>
      <c r="O298" s="13"/>
    </row>
    <row r="299" spans="10:15">
      <c r="J299" s="15" t="str">
        <f t="shared" si="4"/>
        <v/>
      </c>
      <c r="L299" s="13"/>
      <c r="O299" s="13"/>
    </row>
    <row r="300" spans="10:15">
      <c r="J300" s="15" t="str">
        <f t="shared" si="4"/>
        <v/>
      </c>
      <c r="L300" s="13"/>
      <c r="O300" s="13"/>
    </row>
  </sheetData>
  <mergeCells count="1">
    <mergeCell ref="A1:Q1"/>
  </mergeCells>
  <conditionalFormatting sqref="J4:J300">
    <cfRule type="dataBar" priority="1">
      <dataBar>
        <cfvo type="min"/>
        <cfvo type="max"/>
        <color rgb="FF5B9BD5"/>
      </dataBar>
    </cfRule>
    <cfRule type="dataBar" priority="2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{4B9423FE-F77B-009D-A257-DFF3A96D4816}</x14:id>
        </ext>
      </extLst>
    </cfRule>
  </conditionalFormatting>
  <dataValidations count="3">
    <dataValidation type="list" sqref="K4:K300" xr:uid="{00000000-0002-0000-0500-000000000000}">
      <formula1>"1,2,3,4,5"</formula1>
    </dataValidation>
    <dataValidation type="list" sqref="M4:M300" xr:uid="{00000000-0002-0000-0500-000001000000}">
      <formula1>"P1,P2,P3,P4"</formula1>
    </dataValidation>
    <dataValidation type="list" sqref="N4:N300" xr:uid="{00000000-0002-0000-0500-000002000000}">
      <formula1>"Pendiente,En curso,Bloqueada,Hecho,Cancelada,Delegada"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B9423FE-F77B-009D-A257-DFF3A96D4816}">
            <x14:dataBar>
              <x14:cfvo type="min"/>
              <x14:cfvo type="max"/>
              <x14:negativeFillColor auto="1"/>
              <x14:axisColor auto="1"/>
            </x14:dataBar>
          </x14:cfRule>
          <xm:sqref>J4:J300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94"/>
  <sheetViews>
    <sheetView workbookViewId="0"/>
  </sheetViews>
  <sheetFormatPr baseColWidth="10" defaultColWidth="8.796875" defaultRowHeight="13.8"/>
  <cols>
    <col min="1" max="3" width="13" customWidth="1"/>
    <col min="4" max="4" width="18" customWidth="1"/>
    <col min="5" max="5" width="14" customWidth="1"/>
    <col min="6" max="7" width="15" customWidth="1"/>
    <col min="8" max="9" width="12" customWidth="1"/>
    <col min="10" max="10" width="15" customWidth="1"/>
    <col min="11" max="12" width="14" customWidth="1"/>
    <col min="13" max="13" width="34" customWidth="1"/>
    <col min="14" max="14" width="38" customWidth="1"/>
  </cols>
  <sheetData>
    <row r="1" spans="1:14" ht="22.35" customHeight="1">
      <c r="A1" s="26" t="s">
        <v>233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</row>
    <row r="3" spans="1:14" ht="27.6">
      <c r="A3" s="1" t="s">
        <v>82</v>
      </c>
      <c r="B3" s="2" t="s">
        <v>234</v>
      </c>
      <c r="C3" s="2" t="s">
        <v>235</v>
      </c>
      <c r="D3" s="2" t="s">
        <v>236</v>
      </c>
      <c r="E3" s="2" t="s">
        <v>237</v>
      </c>
      <c r="F3" s="2" t="s">
        <v>238</v>
      </c>
      <c r="G3" s="2" t="s">
        <v>239</v>
      </c>
      <c r="H3" s="2" t="s">
        <v>240</v>
      </c>
      <c r="I3" s="2" t="s">
        <v>130</v>
      </c>
      <c r="J3" s="2" t="s">
        <v>241</v>
      </c>
      <c r="K3" s="2" t="s">
        <v>242</v>
      </c>
      <c r="L3" s="2" t="s">
        <v>243</v>
      </c>
      <c r="M3" s="2" t="s">
        <v>244</v>
      </c>
      <c r="N3" s="3" t="s">
        <v>245</v>
      </c>
    </row>
    <row r="4" spans="1:14">
      <c r="A4" s="13">
        <v>46225</v>
      </c>
      <c r="B4">
        <f>SUMIFS('02_AGENDA'!$W$4:$W$500,'02_AGENDA'!$B$4:$B$500,$A4,'02_AGENDA'!$Z$4:$Z$500,"Sí")</f>
        <v>0</v>
      </c>
      <c r="C4">
        <f>SUMIFS('02_AGENDA'!$X$4:$X$500,'02_AGENDA'!$B$4:$B$500,$A4,'02_AGENDA'!$Z$4:$Z$500,"Sí")</f>
        <v>0</v>
      </c>
      <c r="E4">
        <f>SUMIFS('02_AGENDA'!$W$4:$W$500,'02_AGENDA'!$B$4:$B$500,$A4,'02_AGENDA'!$E$4:$E$500,"Reunión")</f>
        <v>0</v>
      </c>
      <c r="F4">
        <f>SUMIFS('02_AGENDA'!$W$4:$W$500,'02_AGENDA'!$B$4:$B$500,$A4)</f>
        <v>0</v>
      </c>
      <c r="G4">
        <f>SUMIFS('02_AGENDA'!$X$4:$X$500,'02_AGENDA'!$B$4:$B$500,$A4,'02_AGENDA'!$M$4:$M$500,"Hecho")</f>
        <v>0</v>
      </c>
    </row>
    <row r="5" spans="1:14">
      <c r="A5" s="13">
        <v>46226</v>
      </c>
      <c r="B5">
        <f>SUMIFS('02_AGENDA'!$W$4:$W$500,'02_AGENDA'!$B$4:$B$500,$A5,'02_AGENDA'!$Z$4:$Z$500,"Sí")</f>
        <v>0</v>
      </c>
      <c r="C5">
        <f>SUMIFS('02_AGENDA'!$X$4:$X$500,'02_AGENDA'!$B$4:$B$500,$A5,'02_AGENDA'!$Z$4:$Z$500,"Sí")</f>
        <v>0</v>
      </c>
      <c r="E5">
        <f>SUMIFS('02_AGENDA'!$W$4:$W$500,'02_AGENDA'!$B$4:$B$500,$A5,'02_AGENDA'!$E$4:$E$500,"Reunión")</f>
        <v>0</v>
      </c>
      <c r="F5">
        <f>SUMIFS('02_AGENDA'!$W$4:$W$500,'02_AGENDA'!$B$4:$B$500,$A5)</f>
        <v>0</v>
      </c>
      <c r="G5">
        <f>SUMIFS('02_AGENDA'!$X$4:$X$500,'02_AGENDA'!$B$4:$B$500,$A5,'02_AGENDA'!$M$4:$M$500,"Hecho")</f>
        <v>0</v>
      </c>
    </row>
    <row r="6" spans="1:14">
      <c r="A6" s="13">
        <v>46227</v>
      </c>
      <c r="B6">
        <f>SUMIFS('02_AGENDA'!$W$4:$W$500,'02_AGENDA'!$B$4:$B$500,$A6,'02_AGENDA'!$Z$4:$Z$500,"Sí")</f>
        <v>0</v>
      </c>
      <c r="C6">
        <f>SUMIFS('02_AGENDA'!$X$4:$X$500,'02_AGENDA'!$B$4:$B$500,$A6,'02_AGENDA'!$Z$4:$Z$500,"Sí")</f>
        <v>0</v>
      </c>
      <c r="E6">
        <f>SUMIFS('02_AGENDA'!$W$4:$W$500,'02_AGENDA'!$B$4:$B$500,$A6,'02_AGENDA'!$E$4:$E$500,"Reunión")</f>
        <v>0</v>
      </c>
      <c r="F6">
        <f>SUMIFS('02_AGENDA'!$W$4:$W$500,'02_AGENDA'!$B$4:$B$500,$A6)</f>
        <v>0</v>
      </c>
      <c r="G6">
        <f>SUMIFS('02_AGENDA'!$X$4:$X$500,'02_AGENDA'!$B$4:$B$500,$A6,'02_AGENDA'!$M$4:$M$500,"Hecho")</f>
        <v>0</v>
      </c>
    </row>
    <row r="7" spans="1:14">
      <c r="A7" s="13">
        <v>46228</v>
      </c>
      <c r="B7">
        <f>SUMIFS('02_AGENDA'!$W$4:$W$500,'02_AGENDA'!$B$4:$B$500,$A7,'02_AGENDA'!$Z$4:$Z$500,"Sí")</f>
        <v>0</v>
      </c>
      <c r="C7">
        <f>SUMIFS('02_AGENDA'!$X$4:$X$500,'02_AGENDA'!$B$4:$B$500,$A7,'02_AGENDA'!$Z$4:$Z$500,"Sí")</f>
        <v>0</v>
      </c>
      <c r="E7">
        <f>SUMIFS('02_AGENDA'!$W$4:$W$500,'02_AGENDA'!$B$4:$B$500,$A7,'02_AGENDA'!$E$4:$E$500,"Reunión")</f>
        <v>0</v>
      </c>
      <c r="F7">
        <f>SUMIFS('02_AGENDA'!$W$4:$W$500,'02_AGENDA'!$B$4:$B$500,$A7)</f>
        <v>0</v>
      </c>
      <c r="G7">
        <f>SUMIFS('02_AGENDA'!$X$4:$X$500,'02_AGENDA'!$B$4:$B$500,$A7,'02_AGENDA'!$M$4:$M$500,"Hecho")</f>
        <v>0</v>
      </c>
    </row>
    <row r="8" spans="1:14">
      <c r="A8" s="13">
        <v>46229</v>
      </c>
      <c r="B8">
        <f>SUMIFS('02_AGENDA'!$W$4:$W$500,'02_AGENDA'!$B$4:$B$500,$A8,'02_AGENDA'!$Z$4:$Z$500,"Sí")</f>
        <v>0</v>
      </c>
      <c r="C8">
        <f>SUMIFS('02_AGENDA'!$X$4:$X$500,'02_AGENDA'!$B$4:$B$500,$A8,'02_AGENDA'!$Z$4:$Z$500,"Sí")</f>
        <v>0</v>
      </c>
      <c r="E8">
        <f>SUMIFS('02_AGENDA'!$W$4:$W$500,'02_AGENDA'!$B$4:$B$500,$A8,'02_AGENDA'!$E$4:$E$500,"Reunión")</f>
        <v>0</v>
      </c>
      <c r="F8">
        <f>SUMIFS('02_AGENDA'!$W$4:$W$500,'02_AGENDA'!$B$4:$B$500,$A8)</f>
        <v>0</v>
      </c>
      <c r="G8">
        <f>SUMIFS('02_AGENDA'!$X$4:$X$500,'02_AGENDA'!$B$4:$B$500,$A8,'02_AGENDA'!$M$4:$M$500,"Hecho")</f>
        <v>0</v>
      </c>
    </row>
    <row r="9" spans="1:14">
      <c r="A9" s="13">
        <v>46230</v>
      </c>
      <c r="B9">
        <f>SUMIFS('02_AGENDA'!$W$4:$W$500,'02_AGENDA'!$B$4:$B$500,$A9,'02_AGENDA'!$Z$4:$Z$500,"Sí")</f>
        <v>0</v>
      </c>
      <c r="C9">
        <f>SUMIFS('02_AGENDA'!$X$4:$X$500,'02_AGENDA'!$B$4:$B$500,$A9,'02_AGENDA'!$Z$4:$Z$500,"Sí")</f>
        <v>0</v>
      </c>
      <c r="E9">
        <f>SUMIFS('02_AGENDA'!$W$4:$W$500,'02_AGENDA'!$B$4:$B$500,$A9,'02_AGENDA'!$E$4:$E$500,"Reunión")</f>
        <v>0</v>
      </c>
      <c r="F9">
        <f>SUMIFS('02_AGENDA'!$W$4:$W$500,'02_AGENDA'!$B$4:$B$500,$A9)</f>
        <v>0</v>
      </c>
      <c r="G9">
        <f>SUMIFS('02_AGENDA'!$X$4:$X$500,'02_AGENDA'!$B$4:$B$500,$A9,'02_AGENDA'!$M$4:$M$500,"Hecho")</f>
        <v>0</v>
      </c>
    </row>
    <row r="10" spans="1:14">
      <c r="A10" s="13">
        <v>46231</v>
      </c>
      <c r="B10">
        <f>SUMIFS('02_AGENDA'!$W$4:$W$500,'02_AGENDA'!$B$4:$B$500,$A10,'02_AGENDA'!$Z$4:$Z$500,"Sí")</f>
        <v>0</v>
      </c>
      <c r="C10">
        <f>SUMIFS('02_AGENDA'!$X$4:$X$500,'02_AGENDA'!$B$4:$B$500,$A10,'02_AGENDA'!$Z$4:$Z$500,"Sí")</f>
        <v>0</v>
      </c>
      <c r="E10">
        <f>SUMIFS('02_AGENDA'!$W$4:$W$500,'02_AGENDA'!$B$4:$B$500,$A10,'02_AGENDA'!$E$4:$E$500,"Reunión")</f>
        <v>0</v>
      </c>
      <c r="F10">
        <f>SUMIFS('02_AGENDA'!$W$4:$W$500,'02_AGENDA'!$B$4:$B$500,$A10)</f>
        <v>0</v>
      </c>
      <c r="G10">
        <f>SUMIFS('02_AGENDA'!$X$4:$X$500,'02_AGENDA'!$B$4:$B$500,$A10,'02_AGENDA'!$M$4:$M$500,"Hecho")</f>
        <v>0</v>
      </c>
    </row>
    <row r="11" spans="1:14">
      <c r="A11" s="13">
        <v>46232</v>
      </c>
      <c r="B11">
        <f>SUMIFS('02_AGENDA'!$W$4:$W$500,'02_AGENDA'!$B$4:$B$500,$A11,'02_AGENDA'!$Z$4:$Z$500,"Sí")</f>
        <v>0</v>
      </c>
      <c r="C11">
        <f>SUMIFS('02_AGENDA'!$X$4:$X$500,'02_AGENDA'!$B$4:$B$500,$A11,'02_AGENDA'!$Z$4:$Z$500,"Sí")</f>
        <v>0</v>
      </c>
      <c r="E11">
        <f>SUMIFS('02_AGENDA'!$W$4:$W$500,'02_AGENDA'!$B$4:$B$500,$A11,'02_AGENDA'!$E$4:$E$500,"Reunión")</f>
        <v>0</v>
      </c>
      <c r="F11">
        <f>SUMIFS('02_AGENDA'!$W$4:$W$500,'02_AGENDA'!$B$4:$B$500,$A11)</f>
        <v>0</v>
      </c>
      <c r="G11">
        <f>SUMIFS('02_AGENDA'!$X$4:$X$500,'02_AGENDA'!$B$4:$B$500,$A11,'02_AGENDA'!$M$4:$M$500,"Hecho")</f>
        <v>0</v>
      </c>
    </row>
    <row r="12" spans="1:14">
      <c r="A12" s="13">
        <v>46233</v>
      </c>
      <c r="B12">
        <f>SUMIFS('02_AGENDA'!$W$4:$W$500,'02_AGENDA'!$B$4:$B$500,$A12,'02_AGENDA'!$Z$4:$Z$500,"Sí")</f>
        <v>0</v>
      </c>
      <c r="C12">
        <f>SUMIFS('02_AGENDA'!$X$4:$X$500,'02_AGENDA'!$B$4:$B$500,$A12,'02_AGENDA'!$Z$4:$Z$500,"Sí")</f>
        <v>0</v>
      </c>
      <c r="E12">
        <f>SUMIFS('02_AGENDA'!$W$4:$W$500,'02_AGENDA'!$B$4:$B$500,$A12,'02_AGENDA'!$E$4:$E$500,"Reunión")</f>
        <v>0</v>
      </c>
      <c r="F12">
        <f>SUMIFS('02_AGENDA'!$W$4:$W$500,'02_AGENDA'!$B$4:$B$500,$A12)</f>
        <v>0</v>
      </c>
      <c r="G12">
        <f>SUMIFS('02_AGENDA'!$X$4:$X$500,'02_AGENDA'!$B$4:$B$500,$A12,'02_AGENDA'!$M$4:$M$500,"Hecho")</f>
        <v>0</v>
      </c>
    </row>
    <row r="13" spans="1:14">
      <c r="A13" s="13">
        <v>46234</v>
      </c>
      <c r="B13">
        <f>SUMIFS('02_AGENDA'!$W$4:$W$500,'02_AGENDA'!$B$4:$B$500,$A13,'02_AGENDA'!$Z$4:$Z$500,"Sí")</f>
        <v>0</v>
      </c>
      <c r="C13">
        <f>SUMIFS('02_AGENDA'!$X$4:$X$500,'02_AGENDA'!$B$4:$B$500,$A13,'02_AGENDA'!$Z$4:$Z$500,"Sí")</f>
        <v>0</v>
      </c>
      <c r="E13">
        <f>SUMIFS('02_AGENDA'!$W$4:$W$500,'02_AGENDA'!$B$4:$B$500,$A13,'02_AGENDA'!$E$4:$E$500,"Reunión")</f>
        <v>0</v>
      </c>
      <c r="F13">
        <f>SUMIFS('02_AGENDA'!$W$4:$W$500,'02_AGENDA'!$B$4:$B$500,$A13)</f>
        <v>0</v>
      </c>
      <c r="G13">
        <f>SUMIFS('02_AGENDA'!$X$4:$X$500,'02_AGENDA'!$B$4:$B$500,$A13,'02_AGENDA'!$M$4:$M$500,"Hecho")</f>
        <v>0</v>
      </c>
    </row>
    <row r="14" spans="1:14">
      <c r="A14" s="13">
        <v>46235</v>
      </c>
      <c r="B14">
        <f>SUMIFS('02_AGENDA'!$W$4:$W$500,'02_AGENDA'!$B$4:$B$500,$A14,'02_AGENDA'!$Z$4:$Z$500,"Sí")</f>
        <v>0</v>
      </c>
      <c r="C14">
        <f>SUMIFS('02_AGENDA'!$X$4:$X$500,'02_AGENDA'!$B$4:$B$500,$A14,'02_AGENDA'!$Z$4:$Z$500,"Sí")</f>
        <v>0</v>
      </c>
      <c r="E14">
        <f>SUMIFS('02_AGENDA'!$W$4:$W$500,'02_AGENDA'!$B$4:$B$500,$A14,'02_AGENDA'!$E$4:$E$500,"Reunión")</f>
        <v>0</v>
      </c>
      <c r="F14">
        <f>SUMIFS('02_AGENDA'!$W$4:$W$500,'02_AGENDA'!$B$4:$B$500,$A14)</f>
        <v>0</v>
      </c>
      <c r="G14">
        <f>SUMIFS('02_AGENDA'!$X$4:$X$500,'02_AGENDA'!$B$4:$B$500,$A14,'02_AGENDA'!$M$4:$M$500,"Hecho")</f>
        <v>0</v>
      </c>
    </row>
    <row r="15" spans="1:14">
      <c r="A15" s="13">
        <v>46236</v>
      </c>
      <c r="B15">
        <f>SUMIFS('02_AGENDA'!$W$4:$W$500,'02_AGENDA'!$B$4:$B$500,$A15,'02_AGENDA'!$Z$4:$Z$500,"Sí")</f>
        <v>0</v>
      </c>
      <c r="C15">
        <f>SUMIFS('02_AGENDA'!$X$4:$X$500,'02_AGENDA'!$B$4:$B$500,$A15,'02_AGENDA'!$Z$4:$Z$500,"Sí")</f>
        <v>0</v>
      </c>
      <c r="E15">
        <f>SUMIFS('02_AGENDA'!$W$4:$W$500,'02_AGENDA'!$B$4:$B$500,$A15,'02_AGENDA'!$E$4:$E$500,"Reunión")</f>
        <v>0</v>
      </c>
      <c r="F15">
        <f>SUMIFS('02_AGENDA'!$W$4:$W$500,'02_AGENDA'!$B$4:$B$500,$A15)</f>
        <v>0</v>
      </c>
      <c r="G15">
        <f>SUMIFS('02_AGENDA'!$X$4:$X$500,'02_AGENDA'!$B$4:$B$500,$A15,'02_AGENDA'!$M$4:$M$500,"Hecho")</f>
        <v>0</v>
      </c>
    </row>
    <row r="16" spans="1:14">
      <c r="A16" s="13">
        <v>46237</v>
      </c>
      <c r="B16">
        <f>SUMIFS('02_AGENDA'!$W$4:$W$500,'02_AGENDA'!$B$4:$B$500,$A16,'02_AGENDA'!$Z$4:$Z$500,"Sí")</f>
        <v>0</v>
      </c>
      <c r="C16">
        <f>SUMIFS('02_AGENDA'!$X$4:$X$500,'02_AGENDA'!$B$4:$B$500,$A16,'02_AGENDA'!$Z$4:$Z$500,"Sí")</f>
        <v>0</v>
      </c>
      <c r="E16">
        <f>SUMIFS('02_AGENDA'!$W$4:$W$500,'02_AGENDA'!$B$4:$B$500,$A16,'02_AGENDA'!$E$4:$E$500,"Reunión")</f>
        <v>0</v>
      </c>
      <c r="F16">
        <f>SUMIFS('02_AGENDA'!$W$4:$W$500,'02_AGENDA'!$B$4:$B$500,$A16)</f>
        <v>0</v>
      </c>
      <c r="G16">
        <f>SUMIFS('02_AGENDA'!$X$4:$X$500,'02_AGENDA'!$B$4:$B$500,$A16,'02_AGENDA'!$M$4:$M$500,"Hecho")</f>
        <v>0</v>
      </c>
    </row>
    <row r="17" spans="1:7">
      <c r="A17" s="13">
        <v>46238</v>
      </c>
      <c r="B17">
        <f>SUMIFS('02_AGENDA'!$W$4:$W$500,'02_AGENDA'!$B$4:$B$500,$A17,'02_AGENDA'!$Z$4:$Z$500,"Sí")</f>
        <v>0</v>
      </c>
      <c r="C17">
        <f>SUMIFS('02_AGENDA'!$X$4:$X$500,'02_AGENDA'!$B$4:$B$500,$A17,'02_AGENDA'!$Z$4:$Z$500,"Sí")</f>
        <v>0</v>
      </c>
      <c r="E17">
        <f>SUMIFS('02_AGENDA'!$W$4:$W$500,'02_AGENDA'!$B$4:$B$500,$A17,'02_AGENDA'!$E$4:$E$500,"Reunión")</f>
        <v>0</v>
      </c>
      <c r="F17">
        <f>SUMIFS('02_AGENDA'!$W$4:$W$500,'02_AGENDA'!$B$4:$B$500,$A17)</f>
        <v>0</v>
      </c>
      <c r="G17">
        <f>SUMIFS('02_AGENDA'!$X$4:$X$500,'02_AGENDA'!$B$4:$B$500,$A17,'02_AGENDA'!$M$4:$M$500,"Hecho")</f>
        <v>0</v>
      </c>
    </row>
    <row r="18" spans="1:7">
      <c r="A18" s="13">
        <v>46239</v>
      </c>
      <c r="B18">
        <f>SUMIFS('02_AGENDA'!$W$4:$W$500,'02_AGENDA'!$B$4:$B$500,$A18,'02_AGENDA'!$Z$4:$Z$500,"Sí")</f>
        <v>0</v>
      </c>
      <c r="C18">
        <f>SUMIFS('02_AGENDA'!$X$4:$X$500,'02_AGENDA'!$B$4:$B$500,$A18,'02_AGENDA'!$Z$4:$Z$500,"Sí")</f>
        <v>0</v>
      </c>
      <c r="E18">
        <f>SUMIFS('02_AGENDA'!$W$4:$W$500,'02_AGENDA'!$B$4:$B$500,$A18,'02_AGENDA'!$E$4:$E$500,"Reunión")</f>
        <v>0</v>
      </c>
      <c r="F18">
        <f>SUMIFS('02_AGENDA'!$W$4:$W$500,'02_AGENDA'!$B$4:$B$500,$A18)</f>
        <v>0</v>
      </c>
      <c r="G18">
        <f>SUMIFS('02_AGENDA'!$X$4:$X$500,'02_AGENDA'!$B$4:$B$500,$A18,'02_AGENDA'!$M$4:$M$500,"Hecho")</f>
        <v>0</v>
      </c>
    </row>
    <row r="19" spans="1:7">
      <c r="A19" s="13">
        <v>46240</v>
      </c>
      <c r="B19">
        <f>SUMIFS('02_AGENDA'!$W$4:$W$500,'02_AGENDA'!$B$4:$B$500,$A19,'02_AGENDA'!$Z$4:$Z$500,"Sí")</f>
        <v>0</v>
      </c>
      <c r="C19">
        <f>SUMIFS('02_AGENDA'!$X$4:$X$500,'02_AGENDA'!$B$4:$B$500,$A19,'02_AGENDA'!$Z$4:$Z$500,"Sí")</f>
        <v>0</v>
      </c>
      <c r="E19">
        <f>SUMIFS('02_AGENDA'!$W$4:$W$500,'02_AGENDA'!$B$4:$B$500,$A19,'02_AGENDA'!$E$4:$E$500,"Reunión")</f>
        <v>0</v>
      </c>
      <c r="F19">
        <f>SUMIFS('02_AGENDA'!$W$4:$W$500,'02_AGENDA'!$B$4:$B$500,$A19)</f>
        <v>0</v>
      </c>
      <c r="G19">
        <f>SUMIFS('02_AGENDA'!$X$4:$X$500,'02_AGENDA'!$B$4:$B$500,$A19,'02_AGENDA'!$M$4:$M$500,"Hecho")</f>
        <v>0</v>
      </c>
    </row>
    <row r="20" spans="1:7">
      <c r="A20" s="13">
        <v>46241</v>
      </c>
      <c r="B20">
        <f>SUMIFS('02_AGENDA'!$W$4:$W$500,'02_AGENDA'!$B$4:$B$500,$A20,'02_AGENDA'!$Z$4:$Z$500,"Sí")</f>
        <v>0</v>
      </c>
      <c r="C20">
        <f>SUMIFS('02_AGENDA'!$X$4:$X$500,'02_AGENDA'!$B$4:$B$500,$A20,'02_AGENDA'!$Z$4:$Z$500,"Sí")</f>
        <v>0</v>
      </c>
      <c r="E20">
        <f>SUMIFS('02_AGENDA'!$W$4:$W$500,'02_AGENDA'!$B$4:$B$500,$A20,'02_AGENDA'!$E$4:$E$500,"Reunión")</f>
        <v>0</v>
      </c>
      <c r="F20">
        <f>SUMIFS('02_AGENDA'!$W$4:$W$500,'02_AGENDA'!$B$4:$B$500,$A20)</f>
        <v>0</v>
      </c>
      <c r="G20">
        <f>SUMIFS('02_AGENDA'!$X$4:$X$500,'02_AGENDA'!$B$4:$B$500,$A20,'02_AGENDA'!$M$4:$M$500,"Hecho")</f>
        <v>0</v>
      </c>
    </row>
    <row r="21" spans="1:7">
      <c r="A21" s="13">
        <v>46242</v>
      </c>
      <c r="B21">
        <f>SUMIFS('02_AGENDA'!$W$4:$W$500,'02_AGENDA'!$B$4:$B$500,$A21,'02_AGENDA'!$Z$4:$Z$500,"Sí")</f>
        <v>0</v>
      </c>
      <c r="C21">
        <f>SUMIFS('02_AGENDA'!$X$4:$X$500,'02_AGENDA'!$B$4:$B$500,$A21,'02_AGENDA'!$Z$4:$Z$500,"Sí")</f>
        <v>0</v>
      </c>
      <c r="E21">
        <f>SUMIFS('02_AGENDA'!$W$4:$W$500,'02_AGENDA'!$B$4:$B$500,$A21,'02_AGENDA'!$E$4:$E$500,"Reunión")</f>
        <v>0</v>
      </c>
      <c r="F21">
        <f>SUMIFS('02_AGENDA'!$W$4:$W$500,'02_AGENDA'!$B$4:$B$500,$A21)</f>
        <v>0</v>
      </c>
      <c r="G21">
        <f>SUMIFS('02_AGENDA'!$X$4:$X$500,'02_AGENDA'!$B$4:$B$500,$A21,'02_AGENDA'!$M$4:$M$500,"Hecho")</f>
        <v>0</v>
      </c>
    </row>
    <row r="22" spans="1:7">
      <c r="A22" s="13">
        <v>46243</v>
      </c>
      <c r="B22">
        <f>SUMIFS('02_AGENDA'!$W$4:$W$500,'02_AGENDA'!$B$4:$B$500,$A22,'02_AGENDA'!$Z$4:$Z$500,"Sí")</f>
        <v>0</v>
      </c>
      <c r="C22">
        <f>SUMIFS('02_AGENDA'!$X$4:$X$500,'02_AGENDA'!$B$4:$B$500,$A22,'02_AGENDA'!$Z$4:$Z$500,"Sí")</f>
        <v>0</v>
      </c>
      <c r="E22">
        <f>SUMIFS('02_AGENDA'!$W$4:$W$500,'02_AGENDA'!$B$4:$B$500,$A22,'02_AGENDA'!$E$4:$E$500,"Reunión")</f>
        <v>0</v>
      </c>
      <c r="F22">
        <f>SUMIFS('02_AGENDA'!$W$4:$W$500,'02_AGENDA'!$B$4:$B$500,$A22)</f>
        <v>0</v>
      </c>
      <c r="G22">
        <f>SUMIFS('02_AGENDA'!$X$4:$X$500,'02_AGENDA'!$B$4:$B$500,$A22,'02_AGENDA'!$M$4:$M$500,"Hecho")</f>
        <v>0</v>
      </c>
    </row>
    <row r="23" spans="1:7">
      <c r="A23" s="13">
        <v>46244</v>
      </c>
      <c r="B23">
        <f>SUMIFS('02_AGENDA'!$W$4:$W$500,'02_AGENDA'!$B$4:$B$500,$A23,'02_AGENDA'!$Z$4:$Z$500,"Sí")</f>
        <v>0</v>
      </c>
      <c r="C23">
        <f>SUMIFS('02_AGENDA'!$X$4:$X$500,'02_AGENDA'!$B$4:$B$500,$A23,'02_AGENDA'!$Z$4:$Z$500,"Sí")</f>
        <v>0</v>
      </c>
      <c r="E23">
        <f>SUMIFS('02_AGENDA'!$W$4:$W$500,'02_AGENDA'!$B$4:$B$500,$A23,'02_AGENDA'!$E$4:$E$500,"Reunión")</f>
        <v>0</v>
      </c>
      <c r="F23">
        <f>SUMIFS('02_AGENDA'!$W$4:$W$500,'02_AGENDA'!$B$4:$B$500,$A23)</f>
        <v>0</v>
      </c>
      <c r="G23">
        <f>SUMIFS('02_AGENDA'!$X$4:$X$500,'02_AGENDA'!$B$4:$B$500,$A23,'02_AGENDA'!$M$4:$M$500,"Hecho")</f>
        <v>0</v>
      </c>
    </row>
    <row r="24" spans="1:7">
      <c r="A24" s="13">
        <v>46245</v>
      </c>
      <c r="B24">
        <f>SUMIFS('02_AGENDA'!$W$4:$W$500,'02_AGENDA'!$B$4:$B$500,$A24,'02_AGENDA'!$Z$4:$Z$500,"Sí")</f>
        <v>0</v>
      </c>
      <c r="C24">
        <f>SUMIFS('02_AGENDA'!$X$4:$X$500,'02_AGENDA'!$B$4:$B$500,$A24,'02_AGENDA'!$Z$4:$Z$500,"Sí")</f>
        <v>0</v>
      </c>
      <c r="E24">
        <f>SUMIFS('02_AGENDA'!$W$4:$W$500,'02_AGENDA'!$B$4:$B$500,$A24,'02_AGENDA'!$E$4:$E$500,"Reunión")</f>
        <v>0</v>
      </c>
      <c r="F24">
        <f>SUMIFS('02_AGENDA'!$W$4:$W$500,'02_AGENDA'!$B$4:$B$500,$A24)</f>
        <v>0</v>
      </c>
      <c r="G24">
        <f>SUMIFS('02_AGENDA'!$X$4:$X$500,'02_AGENDA'!$B$4:$B$500,$A24,'02_AGENDA'!$M$4:$M$500,"Hecho")</f>
        <v>0</v>
      </c>
    </row>
    <row r="25" spans="1:7">
      <c r="A25" s="13">
        <v>46246</v>
      </c>
      <c r="B25">
        <f>SUMIFS('02_AGENDA'!$W$4:$W$500,'02_AGENDA'!$B$4:$B$500,$A25,'02_AGENDA'!$Z$4:$Z$500,"Sí")</f>
        <v>0</v>
      </c>
      <c r="C25">
        <f>SUMIFS('02_AGENDA'!$X$4:$X$500,'02_AGENDA'!$B$4:$B$500,$A25,'02_AGENDA'!$Z$4:$Z$500,"Sí")</f>
        <v>0</v>
      </c>
      <c r="E25">
        <f>SUMIFS('02_AGENDA'!$W$4:$W$500,'02_AGENDA'!$B$4:$B$500,$A25,'02_AGENDA'!$E$4:$E$500,"Reunión")</f>
        <v>0</v>
      </c>
      <c r="F25">
        <f>SUMIFS('02_AGENDA'!$W$4:$W$500,'02_AGENDA'!$B$4:$B$500,$A25)</f>
        <v>0</v>
      </c>
      <c r="G25">
        <f>SUMIFS('02_AGENDA'!$X$4:$X$500,'02_AGENDA'!$B$4:$B$500,$A25,'02_AGENDA'!$M$4:$M$500,"Hecho")</f>
        <v>0</v>
      </c>
    </row>
    <row r="26" spans="1:7">
      <c r="A26" s="13">
        <v>46247</v>
      </c>
      <c r="B26">
        <f>SUMIFS('02_AGENDA'!$W$4:$W$500,'02_AGENDA'!$B$4:$B$500,$A26,'02_AGENDA'!$Z$4:$Z$500,"Sí")</f>
        <v>0</v>
      </c>
      <c r="C26">
        <f>SUMIFS('02_AGENDA'!$X$4:$X$500,'02_AGENDA'!$B$4:$B$500,$A26,'02_AGENDA'!$Z$4:$Z$500,"Sí")</f>
        <v>0</v>
      </c>
      <c r="E26">
        <f>SUMIFS('02_AGENDA'!$W$4:$W$500,'02_AGENDA'!$B$4:$B$500,$A26,'02_AGENDA'!$E$4:$E$500,"Reunión")</f>
        <v>0</v>
      </c>
      <c r="F26">
        <f>SUMIFS('02_AGENDA'!$W$4:$W$500,'02_AGENDA'!$B$4:$B$500,$A26)</f>
        <v>0</v>
      </c>
      <c r="G26">
        <f>SUMIFS('02_AGENDA'!$X$4:$X$500,'02_AGENDA'!$B$4:$B$500,$A26,'02_AGENDA'!$M$4:$M$500,"Hecho")</f>
        <v>0</v>
      </c>
    </row>
    <row r="27" spans="1:7">
      <c r="A27" s="13">
        <v>46248</v>
      </c>
      <c r="B27">
        <f>SUMIFS('02_AGENDA'!$W$4:$W$500,'02_AGENDA'!$B$4:$B$500,$A27,'02_AGENDA'!$Z$4:$Z$500,"Sí")</f>
        <v>0</v>
      </c>
      <c r="C27">
        <f>SUMIFS('02_AGENDA'!$X$4:$X$500,'02_AGENDA'!$B$4:$B$500,$A27,'02_AGENDA'!$Z$4:$Z$500,"Sí")</f>
        <v>0</v>
      </c>
      <c r="E27">
        <f>SUMIFS('02_AGENDA'!$W$4:$W$500,'02_AGENDA'!$B$4:$B$500,$A27,'02_AGENDA'!$E$4:$E$500,"Reunión")</f>
        <v>0</v>
      </c>
      <c r="F27">
        <f>SUMIFS('02_AGENDA'!$W$4:$W$500,'02_AGENDA'!$B$4:$B$500,$A27)</f>
        <v>0</v>
      </c>
      <c r="G27">
        <f>SUMIFS('02_AGENDA'!$X$4:$X$500,'02_AGENDA'!$B$4:$B$500,$A27,'02_AGENDA'!$M$4:$M$500,"Hecho")</f>
        <v>0</v>
      </c>
    </row>
    <row r="28" spans="1:7">
      <c r="A28" s="13">
        <v>46249</v>
      </c>
      <c r="B28">
        <f>SUMIFS('02_AGENDA'!$W$4:$W$500,'02_AGENDA'!$B$4:$B$500,$A28,'02_AGENDA'!$Z$4:$Z$500,"Sí")</f>
        <v>0</v>
      </c>
      <c r="C28">
        <f>SUMIFS('02_AGENDA'!$X$4:$X$500,'02_AGENDA'!$B$4:$B$500,$A28,'02_AGENDA'!$Z$4:$Z$500,"Sí")</f>
        <v>0</v>
      </c>
      <c r="E28">
        <f>SUMIFS('02_AGENDA'!$W$4:$W$500,'02_AGENDA'!$B$4:$B$500,$A28,'02_AGENDA'!$E$4:$E$500,"Reunión")</f>
        <v>0</v>
      </c>
      <c r="F28">
        <f>SUMIFS('02_AGENDA'!$W$4:$W$500,'02_AGENDA'!$B$4:$B$500,$A28)</f>
        <v>0</v>
      </c>
      <c r="G28">
        <f>SUMIFS('02_AGENDA'!$X$4:$X$500,'02_AGENDA'!$B$4:$B$500,$A28,'02_AGENDA'!$M$4:$M$500,"Hecho")</f>
        <v>0</v>
      </c>
    </row>
    <row r="29" spans="1:7">
      <c r="A29" s="13">
        <v>46250</v>
      </c>
      <c r="B29">
        <f>SUMIFS('02_AGENDA'!$W$4:$W$500,'02_AGENDA'!$B$4:$B$500,$A29,'02_AGENDA'!$Z$4:$Z$500,"Sí")</f>
        <v>0</v>
      </c>
      <c r="C29">
        <f>SUMIFS('02_AGENDA'!$X$4:$X$500,'02_AGENDA'!$B$4:$B$500,$A29,'02_AGENDA'!$Z$4:$Z$500,"Sí")</f>
        <v>0</v>
      </c>
      <c r="E29">
        <f>SUMIFS('02_AGENDA'!$W$4:$W$500,'02_AGENDA'!$B$4:$B$500,$A29,'02_AGENDA'!$E$4:$E$500,"Reunión")</f>
        <v>0</v>
      </c>
      <c r="F29">
        <f>SUMIFS('02_AGENDA'!$W$4:$W$500,'02_AGENDA'!$B$4:$B$500,$A29)</f>
        <v>0</v>
      </c>
      <c r="G29">
        <f>SUMIFS('02_AGENDA'!$X$4:$X$500,'02_AGENDA'!$B$4:$B$500,$A29,'02_AGENDA'!$M$4:$M$500,"Hecho")</f>
        <v>0</v>
      </c>
    </row>
    <row r="30" spans="1:7">
      <c r="A30" s="13">
        <v>46251</v>
      </c>
      <c r="B30">
        <f>SUMIFS('02_AGENDA'!$W$4:$W$500,'02_AGENDA'!$B$4:$B$500,$A30,'02_AGENDA'!$Z$4:$Z$500,"Sí")</f>
        <v>0</v>
      </c>
      <c r="C30">
        <f>SUMIFS('02_AGENDA'!$X$4:$X$500,'02_AGENDA'!$B$4:$B$500,$A30,'02_AGENDA'!$Z$4:$Z$500,"Sí")</f>
        <v>0</v>
      </c>
      <c r="E30">
        <f>SUMIFS('02_AGENDA'!$W$4:$W$500,'02_AGENDA'!$B$4:$B$500,$A30,'02_AGENDA'!$E$4:$E$500,"Reunión")</f>
        <v>0</v>
      </c>
      <c r="F30">
        <f>SUMIFS('02_AGENDA'!$W$4:$W$500,'02_AGENDA'!$B$4:$B$500,$A30)</f>
        <v>0</v>
      </c>
      <c r="G30">
        <f>SUMIFS('02_AGENDA'!$X$4:$X$500,'02_AGENDA'!$B$4:$B$500,$A30,'02_AGENDA'!$M$4:$M$500,"Hecho")</f>
        <v>0</v>
      </c>
    </row>
    <row r="31" spans="1:7">
      <c r="A31" s="13">
        <v>46252</v>
      </c>
      <c r="B31">
        <f>SUMIFS('02_AGENDA'!$W$4:$W$500,'02_AGENDA'!$B$4:$B$500,$A31,'02_AGENDA'!$Z$4:$Z$500,"Sí")</f>
        <v>0</v>
      </c>
      <c r="C31">
        <f>SUMIFS('02_AGENDA'!$X$4:$X$500,'02_AGENDA'!$B$4:$B$500,$A31,'02_AGENDA'!$Z$4:$Z$500,"Sí")</f>
        <v>0</v>
      </c>
      <c r="E31">
        <f>SUMIFS('02_AGENDA'!$W$4:$W$500,'02_AGENDA'!$B$4:$B$500,$A31,'02_AGENDA'!$E$4:$E$500,"Reunión")</f>
        <v>0</v>
      </c>
      <c r="F31">
        <f>SUMIFS('02_AGENDA'!$W$4:$W$500,'02_AGENDA'!$B$4:$B$500,$A31)</f>
        <v>0</v>
      </c>
      <c r="G31">
        <f>SUMIFS('02_AGENDA'!$X$4:$X$500,'02_AGENDA'!$B$4:$B$500,$A31,'02_AGENDA'!$M$4:$M$500,"Hecho")</f>
        <v>0</v>
      </c>
    </row>
    <row r="32" spans="1:7">
      <c r="A32" s="13">
        <v>46253</v>
      </c>
      <c r="B32">
        <f>SUMIFS('02_AGENDA'!$W$4:$W$500,'02_AGENDA'!$B$4:$B$500,$A32,'02_AGENDA'!$Z$4:$Z$500,"Sí")</f>
        <v>0</v>
      </c>
      <c r="C32">
        <f>SUMIFS('02_AGENDA'!$X$4:$X$500,'02_AGENDA'!$B$4:$B$500,$A32,'02_AGENDA'!$Z$4:$Z$500,"Sí")</f>
        <v>0</v>
      </c>
      <c r="E32">
        <f>SUMIFS('02_AGENDA'!$W$4:$W$500,'02_AGENDA'!$B$4:$B$500,$A32,'02_AGENDA'!$E$4:$E$500,"Reunión")</f>
        <v>0</v>
      </c>
      <c r="F32">
        <f>SUMIFS('02_AGENDA'!$W$4:$W$500,'02_AGENDA'!$B$4:$B$500,$A32)</f>
        <v>0</v>
      </c>
      <c r="G32">
        <f>SUMIFS('02_AGENDA'!$X$4:$X$500,'02_AGENDA'!$B$4:$B$500,$A32,'02_AGENDA'!$M$4:$M$500,"Hecho")</f>
        <v>0</v>
      </c>
    </row>
    <row r="33" spans="1:7">
      <c r="A33" s="13">
        <v>46254</v>
      </c>
      <c r="B33">
        <f>SUMIFS('02_AGENDA'!$W$4:$W$500,'02_AGENDA'!$B$4:$B$500,$A33,'02_AGENDA'!$Z$4:$Z$500,"Sí")</f>
        <v>0</v>
      </c>
      <c r="C33">
        <f>SUMIFS('02_AGENDA'!$X$4:$X$500,'02_AGENDA'!$B$4:$B$500,$A33,'02_AGENDA'!$Z$4:$Z$500,"Sí")</f>
        <v>0</v>
      </c>
      <c r="E33">
        <f>SUMIFS('02_AGENDA'!$W$4:$W$500,'02_AGENDA'!$B$4:$B$500,$A33,'02_AGENDA'!$E$4:$E$500,"Reunión")</f>
        <v>0</v>
      </c>
      <c r="F33">
        <f>SUMIFS('02_AGENDA'!$W$4:$W$500,'02_AGENDA'!$B$4:$B$500,$A33)</f>
        <v>0</v>
      </c>
      <c r="G33">
        <f>SUMIFS('02_AGENDA'!$X$4:$X$500,'02_AGENDA'!$B$4:$B$500,$A33,'02_AGENDA'!$M$4:$M$500,"Hecho")</f>
        <v>0</v>
      </c>
    </row>
    <row r="34" spans="1:7">
      <c r="A34" s="13">
        <v>46255</v>
      </c>
      <c r="B34">
        <f>SUMIFS('02_AGENDA'!$W$4:$W$500,'02_AGENDA'!$B$4:$B$500,$A34,'02_AGENDA'!$Z$4:$Z$500,"Sí")</f>
        <v>90</v>
      </c>
      <c r="C34">
        <f>SUMIFS('02_AGENDA'!$X$4:$X$500,'02_AGENDA'!$B$4:$B$500,$A34,'02_AGENDA'!$Z$4:$Z$500,"Sí")</f>
        <v>0</v>
      </c>
      <c r="E34">
        <f>SUMIFS('02_AGENDA'!$W$4:$W$500,'02_AGENDA'!$B$4:$B$500,$A34,'02_AGENDA'!$E$4:$E$500,"Reunión")</f>
        <v>0</v>
      </c>
      <c r="F34">
        <f>SUMIFS('02_AGENDA'!$W$4:$W$500,'02_AGENDA'!$B$4:$B$500,$A34)</f>
        <v>135</v>
      </c>
      <c r="G34">
        <f>SUMIFS('02_AGENDA'!$X$4:$X$500,'02_AGENDA'!$B$4:$B$500,$A34,'02_AGENDA'!$M$4:$M$500,"Hecho")</f>
        <v>15</v>
      </c>
    </row>
    <row r="35" spans="1:7">
      <c r="A35" s="13">
        <v>46256</v>
      </c>
      <c r="B35">
        <f>SUMIFS('02_AGENDA'!$W$4:$W$500,'02_AGENDA'!$B$4:$B$500,$A35,'02_AGENDA'!$Z$4:$Z$500,"Sí")</f>
        <v>0</v>
      </c>
      <c r="C35">
        <f>SUMIFS('02_AGENDA'!$X$4:$X$500,'02_AGENDA'!$B$4:$B$500,$A35,'02_AGENDA'!$Z$4:$Z$500,"Sí")</f>
        <v>0</v>
      </c>
      <c r="E35">
        <f>SUMIFS('02_AGENDA'!$W$4:$W$500,'02_AGENDA'!$B$4:$B$500,$A35,'02_AGENDA'!$E$4:$E$500,"Reunión")</f>
        <v>0</v>
      </c>
      <c r="F35">
        <f>SUMIFS('02_AGENDA'!$W$4:$W$500,'02_AGENDA'!$B$4:$B$500,$A35)</f>
        <v>0</v>
      </c>
      <c r="G35">
        <f>SUMIFS('02_AGENDA'!$X$4:$X$500,'02_AGENDA'!$B$4:$B$500,$A35,'02_AGENDA'!$M$4:$M$500,"Hecho")</f>
        <v>0</v>
      </c>
    </row>
    <row r="36" spans="1:7">
      <c r="A36" s="13">
        <v>46257</v>
      </c>
      <c r="B36">
        <f>SUMIFS('02_AGENDA'!$W$4:$W$500,'02_AGENDA'!$B$4:$B$500,$A36,'02_AGENDA'!$Z$4:$Z$500,"Sí")</f>
        <v>0</v>
      </c>
      <c r="C36">
        <f>SUMIFS('02_AGENDA'!$X$4:$X$500,'02_AGENDA'!$B$4:$B$500,$A36,'02_AGENDA'!$Z$4:$Z$500,"Sí")</f>
        <v>0</v>
      </c>
      <c r="E36">
        <f>SUMIFS('02_AGENDA'!$W$4:$W$500,'02_AGENDA'!$B$4:$B$500,$A36,'02_AGENDA'!$E$4:$E$500,"Reunión")</f>
        <v>0</v>
      </c>
      <c r="F36">
        <f>SUMIFS('02_AGENDA'!$W$4:$W$500,'02_AGENDA'!$B$4:$B$500,$A36)</f>
        <v>0</v>
      </c>
      <c r="G36">
        <f>SUMIFS('02_AGENDA'!$X$4:$X$500,'02_AGENDA'!$B$4:$B$500,$A36,'02_AGENDA'!$M$4:$M$500,"Hecho")</f>
        <v>0</v>
      </c>
    </row>
    <row r="37" spans="1:7">
      <c r="A37" s="13">
        <v>46258</v>
      </c>
      <c r="B37">
        <f>SUMIFS('02_AGENDA'!$W$4:$W$500,'02_AGENDA'!$B$4:$B$500,$A37,'02_AGENDA'!$Z$4:$Z$500,"Sí")</f>
        <v>0</v>
      </c>
      <c r="C37">
        <f>SUMIFS('02_AGENDA'!$X$4:$X$500,'02_AGENDA'!$B$4:$B$500,$A37,'02_AGENDA'!$Z$4:$Z$500,"Sí")</f>
        <v>0</v>
      </c>
      <c r="E37">
        <f>SUMIFS('02_AGENDA'!$W$4:$W$500,'02_AGENDA'!$B$4:$B$500,$A37,'02_AGENDA'!$E$4:$E$500,"Reunión")</f>
        <v>0</v>
      </c>
      <c r="F37">
        <f>SUMIFS('02_AGENDA'!$W$4:$W$500,'02_AGENDA'!$B$4:$B$500,$A37)</f>
        <v>0</v>
      </c>
      <c r="G37">
        <f>SUMIFS('02_AGENDA'!$X$4:$X$500,'02_AGENDA'!$B$4:$B$500,$A37,'02_AGENDA'!$M$4:$M$500,"Hecho")</f>
        <v>0</v>
      </c>
    </row>
    <row r="38" spans="1:7">
      <c r="A38" s="13">
        <v>46259</v>
      </c>
      <c r="B38">
        <f>SUMIFS('02_AGENDA'!$W$4:$W$500,'02_AGENDA'!$B$4:$B$500,$A38,'02_AGENDA'!$Z$4:$Z$500,"Sí")</f>
        <v>0</v>
      </c>
      <c r="C38">
        <f>SUMIFS('02_AGENDA'!$X$4:$X$500,'02_AGENDA'!$B$4:$B$500,$A38,'02_AGENDA'!$Z$4:$Z$500,"Sí")</f>
        <v>0</v>
      </c>
      <c r="E38">
        <f>SUMIFS('02_AGENDA'!$W$4:$W$500,'02_AGENDA'!$B$4:$B$500,$A38,'02_AGENDA'!$E$4:$E$500,"Reunión")</f>
        <v>0</v>
      </c>
      <c r="F38">
        <f>SUMIFS('02_AGENDA'!$W$4:$W$500,'02_AGENDA'!$B$4:$B$500,$A38)</f>
        <v>0</v>
      </c>
      <c r="G38">
        <f>SUMIFS('02_AGENDA'!$X$4:$X$500,'02_AGENDA'!$B$4:$B$500,$A38,'02_AGENDA'!$M$4:$M$500,"Hecho")</f>
        <v>0</v>
      </c>
    </row>
    <row r="39" spans="1:7">
      <c r="A39" s="13">
        <v>46260</v>
      </c>
      <c r="B39">
        <f>SUMIFS('02_AGENDA'!$W$4:$W$500,'02_AGENDA'!$B$4:$B$500,$A39,'02_AGENDA'!$Z$4:$Z$500,"Sí")</f>
        <v>0</v>
      </c>
      <c r="C39">
        <f>SUMIFS('02_AGENDA'!$X$4:$X$500,'02_AGENDA'!$B$4:$B$500,$A39,'02_AGENDA'!$Z$4:$Z$500,"Sí")</f>
        <v>0</v>
      </c>
      <c r="E39">
        <f>SUMIFS('02_AGENDA'!$W$4:$W$500,'02_AGENDA'!$B$4:$B$500,$A39,'02_AGENDA'!$E$4:$E$500,"Reunión")</f>
        <v>0</v>
      </c>
      <c r="F39">
        <f>SUMIFS('02_AGENDA'!$W$4:$W$500,'02_AGENDA'!$B$4:$B$500,$A39)</f>
        <v>0</v>
      </c>
      <c r="G39">
        <f>SUMIFS('02_AGENDA'!$X$4:$X$500,'02_AGENDA'!$B$4:$B$500,$A39,'02_AGENDA'!$M$4:$M$500,"Hecho")</f>
        <v>0</v>
      </c>
    </row>
    <row r="40" spans="1:7">
      <c r="A40" s="13">
        <v>46261</v>
      </c>
      <c r="B40">
        <f>SUMIFS('02_AGENDA'!$W$4:$W$500,'02_AGENDA'!$B$4:$B$500,$A40,'02_AGENDA'!$Z$4:$Z$500,"Sí")</f>
        <v>0</v>
      </c>
      <c r="C40">
        <f>SUMIFS('02_AGENDA'!$X$4:$X$500,'02_AGENDA'!$B$4:$B$500,$A40,'02_AGENDA'!$Z$4:$Z$500,"Sí")</f>
        <v>0</v>
      </c>
      <c r="E40">
        <f>SUMIFS('02_AGENDA'!$W$4:$W$500,'02_AGENDA'!$B$4:$B$500,$A40,'02_AGENDA'!$E$4:$E$500,"Reunión")</f>
        <v>0</v>
      </c>
      <c r="F40">
        <f>SUMIFS('02_AGENDA'!$W$4:$W$500,'02_AGENDA'!$B$4:$B$500,$A40)</f>
        <v>0</v>
      </c>
      <c r="G40">
        <f>SUMIFS('02_AGENDA'!$X$4:$X$500,'02_AGENDA'!$B$4:$B$500,$A40,'02_AGENDA'!$M$4:$M$500,"Hecho")</f>
        <v>0</v>
      </c>
    </row>
    <row r="41" spans="1:7">
      <c r="A41" s="13">
        <v>46262</v>
      </c>
      <c r="B41">
        <f>SUMIFS('02_AGENDA'!$W$4:$W$500,'02_AGENDA'!$B$4:$B$500,$A41,'02_AGENDA'!$Z$4:$Z$500,"Sí")</f>
        <v>0</v>
      </c>
      <c r="C41">
        <f>SUMIFS('02_AGENDA'!$X$4:$X$500,'02_AGENDA'!$B$4:$B$500,$A41,'02_AGENDA'!$Z$4:$Z$500,"Sí")</f>
        <v>0</v>
      </c>
      <c r="E41">
        <f>SUMIFS('02_AGENDA'!$W$4:$W$500,'02_AGENDA'!$B$4:$B$500,$A41,'02_AGENDA'!$E$4:$E$500,"Reunión")</f>
        <v>0</v>
      </c>
      <c r="F41">
        <f>SUMIFS('02_AGENDA'!$W$4:$W$500,'02_AGENDA'!$B$4:$B$500,$A41)</f>
        <v>0</v>
      </c>
      <c r="G41">
        <f>SUMIFS('02_AGENDA'!$X$4:$X$500,'02_AGENDA'!$B$4:$B$500,$A41,'02_AGENDA'!$M$4:$M$500,"Hecho")</f>
        <v>0</v>
      </c>
    </row>
    <row r="42" spans="1:7">
      <c r="A42" s="13">
        <v>46263</v>
      </c>
      <c r="B42">
        <f>SUMIFS('02_AGENDA'!$W$4:$W$500,'02_AGENDA'!$B$4:$B$500,$A42,'02_AGENDA'!$Z$4:$Z$500,"Sí")</f>
        <v>0</v>
      </c>
      <c r="C42">
        <f>SUMIFS('02_AGENDA'!$X$4:$X$500,'02_AGENDA'!$B$4:$B$500,$A42,'02_AGENDA'!$Z$4:$Z$500,"Sí")</f>
        <v>0</v>
      </c>
      <c r="E42">
        <f>SUMIFS('02_AGENDA'!$W$4:$W$500,'02_AGENDA'!$B$4:$B$500,$A42,'02_AGENDA'!$E$4:$E$500,"Reunión")</f>
        <v>0</v>
      </c>
      <c r="F42">
        <f>SUMIFS('02_AGENDA'!$W$4:$W$500,'02_AGENDA'!$B$4:$B$500,$A42)</f>
        <v>0</v>
      </c>
      <c r="G42">
        <f>SUMIFS('02_AGENDA'!$X$4:$X$500,'02_AGENDA'!$B$4:$B$500,$A42,'02_AGENDA'!$M$4:$M$500,"Hecho")</f>
        <v>0</v>
      </c>
    </row>
    <row r="43" spans="1:7">
      <c r="A43" s="13">
        <v>46264</v>
      </c>
      <c r="B43">
        <f>SUMIFS('02_AGENDA'!$W$4:$W$500,'02_AGENDA'!$B$4:$B$500,$A43,'02_AGENDA'!$Z$4:$Z$500,"Sí")</f>
        <v>0</v>
      </c>
      <c r="C43">
        <f>SUMIFS('02_AGENDA'!$X$4:$X$500,'02_AGENDA'!$B$4:$B$500,$A43,'02_AGENDA'!$Z$4:$Z$500,"Sí")</f>
        <v>0</v>
      </c>
      <c r="E43">
        <f>SUMIFS('02_AGENDA'!$W$4:$W$500,'02_AGENDA'!$B$4:$B$500,$A43,'02_AGENDA'!$E$4:$E$500,"Reunión")</f>
        <v>0</v>
      </c>
      <c r="F43">
        <f>SUMIFS('02_AGENDA'!$W$4:$W$500,'02_AGENDA'!$B$4:$B$500,$A43)</f>
        <v>0</v>
      </c>
      <c r="G43">
        <f>SUMIFS('02_AGENDA'!$X$4:$X$500,'02_AGENDA'!$B$4:$B$500,$A43,'02_AGENDA'!$M$4:$M$500,"Hecho")</f>
        <v>0</v>
      </c>
    </row>
    <row r="44" spans="1:7">
      <c r="A44" s="13">
        <v>46265</v>
      </c>
      <c r="B44">
        <f>SUMIFS('02_AGENDA'!$W$4:$W$500,'02_AGENDA'!$B$4:$B$500,$A44,'02_AGENDA'!$Z$4:$Z$500,"Sí")</f>
        <v>0</v>
      </c>
      <c r="C44">
        <f>SUMIFS('02_AGENDA'!$X$4:$X$500,'02_AGENDA'!$B$4:$B$500,$A44,'02_AGENDA'!$Z$4:$Z$500,"Sí")</f>
        <v>0</v>
      </c>
      <c r="E44">
        <f>SUMIFS('02_AGENDA'!$W$4:$W$500,'02_AGENDA'!$B$4:$B$500,$A44,'02_AGENDA'!$E$4:$E$500,"Reunión")</f>
        <v>0</v>
      </c>
      <c r="F44">
        <f>SUMIFS('02_AGENDA'!$W$4:$W$500,'02_AGENDA'!$B$4:$B$500,$A44)</f>
        <v>0</v>
      </c>
      <c r="G44">
        <f>SUMIFS('02_AGENDA'!$X$4:$X$500,'02_AGENDA'!$B$4:$B$500,$A44,'02_AGENDA'!$M$4:$M$500,"Hecho")</f>
        <v>0</v>
      </c>
    </row>
    <row r="45" spans="1:7">
      <c r="A45" s="13">
        <v>46266</v>
      </c>
      <c r="B45">
        <f>SUMIFS('02_AGENDA'!$W$4:$W$500,'02_AGENDA'!$B$4:$B$500,$A45,'02_AGENDA'!$Z$4:$Z$500,"Sí")</f>
        <v>0</v>
      </c>
      <c r="C45">
        <f>SUMIFS('02_AGENDA'!$X$4:$X$500,'02_AGENDA'!$B$4:$B$500,$A45,'02_AGENDA'!$Z$4:$Z$500,"Sí")</f>
        <v>0</v>
      </c>
      <c r="E45">
        <f>SUMIFS('02_AGENDA'!$W$4:$W$500,'02_AGENDA'!$B$4:$B$500,$A45,'02_AGENDA'!$E$4:$E$500,"Reunión")</f>
        <v>0</v>
      </c>
      <c r="F45">
        <f>SUMIFS('02_AGENDA'!$W$4:$W$500,'02_AGENDA'!$B$4:$B$500,$A45)</f>
        <v>0</v>
      </c>
      <c r="G45">
        <f>SUMIFS('02_AGENDA'!$X$4:$X$500,'02_AGENDA'!$B$4:$B$500,$A45,'02_AGENDA'!$M$4:$M$500,"Hecho")</f>
        <v>0</v>
      </c>
    </row>
    <row r="46" spans="1:7">
      <c r="A46" s="13">
        <v>46267</v>
      </c>
      <c r="B46">
        <f>SUMIFS('02_AGENDA'!$W$4:$W$500,'02_AGENDA'!$B$4:$B$500,$A46,'02_AGENDA'!$Z$4:$Z$500,"Sí")</f>
        <v>0</v>
      </c>
      <c r="C46">
        <f>SUMIFS('02_AGENDA'!$X$4:$X$500,'02_AGENDA'!$B$4:$B$500,$A46,'02_AGENDA'!$Z$4:$Z$500,"Sí")</f>
        <v>0</v>
      </c>
      <c r="E46">
        <f>SUMIFS('02_AGENDA'!$W$4:$W$500,'02_AGENDA'!$B$4:$B$500,$A46,'02_AGENDA'!$E$4:$E$500,"Reunión")</f>
        <v>0</v>
      </c>
      <c r="F46">
        <f>SUMIFS('02_AGENDA'!$W$4:$W$500,'02_AGENDA'!$B$4:$B$500,$A46)</f>
        <v>600</v>
      </c>
      <c r="G46">
        <f>SUMIFS('02_AGENDA'!$X$4:$X$500,'02_AGENDA'!$B$4:$B$500,$A46,'02_AGENDA'!$M$4:$M$500,"Hecho")</f>
        <v>0</v>
      </c>
    </row>
    <row r="47" spans="1:7">
      <c r="A47" s="13">
        <v>46268</v>
      </c>
      <c r="B47">
        <f>SUMIFS('02_AGENDA'!$W$4:$W$500,'02_AGENDA'!$B$4:$B$500,$A47,'02_AGENDA'!$Z$4:$Z$500,"Sí")</f>
        <v>0</v>
      </c>
      <c r="C47">
        <f>SUMIFS('02_AGENDA'!$X$4:$X$500,'02_AGENDA'!$B$4:$B$500,$A47,'02_AGENDA'!$Z$4:$Z$500,"Sí")</f>
        <v>0</v>
      </c>
      <c r="E47">
        <f>SUMIFS('02_AGENDA'!$W$4:$W$500,'02_AGENDA'!$B$4:$B$500,$A47,'02_AGENDA'!$E$4:$E$500,"Reunión")</f>
        <v>0</v>
      </c>
      <c r="F47">
        <f>SUMIFS('02_AGENDA'!$W$4:$W$500,'02_AGENDA'!$B$4:$B$500,$A47)</f>
        <v>0</v>
      </c>
      <c r="G47">
        <f>SUMIFS('02_AGENDA'!$X$4:$X$500,'02_AGENDA'!$B$4:$B$500,$A47,'02_AGENDA'!$M$4:$M$500,"Hecho")</f>
        <v>0</v>
      </c>
    </row>
    <row r="48" spans="1:7">
      <c r="A48" s="13">
        <v>46269</v>
      </c>
      <c r="B48">
        <f>SUMIFS('02_AGENDA'!$W$4:$W$500,'02_AGENDA'!$B$4:$B$500,$A48,'02_AGENDA'!$Z$4:$Z$500,"Sí")</f>
        <v>0</v>
      </c>
      <c r="C48">
        <f>SUMIFS('02_AGENDA'!$X$4:$X$500,'02_AGENDA'!$B$4:$B$500,$A48,'02_AGENDA'!$Z$4:$Z$500,"Sí")</f>
        <v>0</v>
      </c>
      <c r="E48">
        <f>SUMIFS('02_AGENDA'!$W$4:$W$500,'02_AGENDA'!$B$4:$B$500,$A48,'02_AGENDA'!$E$4:$E$500,"Reunión")</f>
        <v>0</v>
      </c>
      <c r="F48">
        <f>SUMIFS('02_AGENDA'!$W$4:$W$500,'02_AGENDA'!$B$4:$B$500,$A48)</f>
        <v>0</v>
      </c>
      <c r="G48">
        <f>SUMIFS('02_AGENDA'!$X$4:$X$500,'02_AGENDA'!$B$4:$B$500,$A48,'02_AGENDA'!$M$4:$M$500,"Hecho")</f>
        <v>0</v>
      </c>
    </row>
    <row r="49" spans="1:7">
      <c r="A49" s="13">
        <v>46270</v>
      </c>
      <c r="B49">
        <f>SUMIFS('02_AGENDA'!$W$4:$W$500,'02_AGENDA'!$B$4:$B$500,$A49,'02_AGENDA'!$Z$4:$Z$500,"Sí")</f>
        <v>0</v>
      </c>
      <c r="C49">
        <f>SUMIFS('02_AGENDA'!$X$4:$X$500,'02_AGENDA'!$B$4:$B$500,$A49,'02_AGENDA'!$Z$4:$Z$500,"Sí")</f>
        <v>0</v>
      </c>
      <c r="E49">
        <f>SUMIFS('02_AGENDA'!$W$4:$W$500,'02_AGENDA'!$B$4:$B$500,$A49,'02_AGENDA'!$E$4:$E$500,"Reunión")</f>
        <v>0</v>
      </c>
      <c r="F49">
        <f>SUMIFS('02_AGENDA'!$W$4:$W$500,'02_AGENDA'!$B$4:$B$500,$A49)</f>
        <v>0</v>
      </c>
      <c r="G49">
        <f>SUMIFS('02_AGENDA'!$X$4:$X$500,'02_AGENDA'!$B$4:$B$500,$A49,'02_AGENDA'!$M$4:$M$500,"Hecho")</f>
        <v>0</v>
      </c>
    </row>
    <row r="50" spans="1:7">
      <c r="A50" s="13">
        <v>46271</v>
      </c>
      <c r="B50">
        <f>SUMIFS('02_AGENDA'!$W$4:$W$500,'02_AGENDA'!$B$4:$B$500,$A50,'02_AGENDA'!$Z$4:$Z$500,"Sí")</f>
        <v>0</v>
      </c>
      <c r="C50">
        <f>SUMIFS('02_AGENDA'!$X$4:$X$500,'02_AGENDA'!$B$4:$B$500,$A50,'02_AGENDA'!$Z$4:$Z$500,"Sí")</f>
        <v>0</v>
      </c>
      <c r="E50">
        <f>SUMIFS('02_AGENDA'!$W$4:$W$500,'02_AGENDA'!$B$4:$B$500,$A50,'02_AGENDA'!$E$4:$E$500,"Reunión")</f>
        <v>0</v>
      </c>
      <c r="F50">
        <f>SUMIFS('02_AGENDA'!$W$4:$W$500,'02_AGENDA'!$B$4:$B$500,$A50)</f>
        <v>0</v>
      </c>
      <c r="G50">
        <f>SUMIFS('02_AGENDA'!$X$4:$X$500,'02_AGENDA'!$B$4:$B$500,$A50,'02_AGENDA'!$M$4:$M$500,"Hecho")</f>
        <v>0</v>
      </c>
    </row>
    <row r="51" spans="1:7">
      <c r="A51" s="13">
        <v>46272</v>
      </c>
      <c r="B51">
        <f>SUMIFS('02_AGENDA'!$W$4:$W$500,'02_AGENDA'!$B$4:$B$500,$A51,'02_AGENDA'!$Z$4:$Z$500,"Sí")</f>
        <v>0</v>
      </c>
      <c r="C51">
        <f>SUMIFS('02_AGENDA'!$X$4:$X$500,'02_AGENDA'!$B$4:$B$500,$A51,'02_AGENDA'!$Z$4:$Z$500,"Sí")</f>
        <v>0</v>
      </c>
      <c r="E51">
        <f>SUMIFS('02_AGENDA'!$W$4:$W$500,'02_AGENDA'!$B$4:$B$500,$A51,'02_AGENDA'!$E$4:$E$500,"Reunión")</f>
        <v>0</v>
      </c>
      <c r="F51">
        <f>SUMIFS('02_AGENDA'!$W$4:$W$500,'02_AGENDA'!$B$4:$B$500,$A51)</f>
        <v>0</v>
      </c>
      <c r="G51">
        <f>SUMIFS('02_AGENDA'!$X$4:$X$500,'02_AGENDA'!$B$4:$B$500,$A51,'02_AGENDA'!$M$4:$M$500,"Hecho")</f>
        <v>0</v>
      </c>
    </row>
    <row r="52" spans="1:7">
      <c r="A52" s="13">
        <v>46273</v>
      </c>
      <c r="B52">
        <f>SUMIFS('02_AGENDA'!$W$4:$W$500,'02_AGENDA'!$B$4:$B$500,$A52,'02_AGENDA'!$Z$4:$Z$500,"Sí")</f>
        <v>0</v>
      </c>
      <c r="C52">
        <f>SUMIFS('02_AGENDA'!$X$4:$X$500,'02_AGENDA'!$B$4:$B$500,$A52,'02_AGENDA'!$Z$4:$Z$500,"Sí")</f>
        <v>0</v>
      </c>
      <c r="E52">
        <f>SUMIFS('02_AGENDA'!$W$4:$W$500,'02_AGENDA'!$B$4:$B$500,$A52,'02_AGENDA'!$E$4:$E$500,"Reunión")</f>
        <v>0</v>
      </c>
      <c r="F52">
        <f>SUMIFS('02_AGENDA'!$W$4:$W$500,'02_AGENDA'!$B$4:$B$500,$A52)</f>
        <v>0</v>
      </c>
      <c r="G52">
        <f>SUMIFS('02_AGENDA'!$X$4:$X$500,'02_AGENDA'!$B$4:$B$500,$A52,'02_AGENDA'!$M$4:$M$500,"Hecho")</f>
        <v>0</v>
      </c>
    </row>
    <row r="53" spans="1:7">
      <c r="A53" s="13">
        <v>46274</v>
      </c>
      <c r="B53">
        <f>SUMIFS('02_AGENDA'!$W$4:$W$500,'02_AGENDA'!$B$4:$B$500,$A53,'02_AGENDA'!$Z$4:$Z$500,"Sí")</f>
        <v>0</v>
      </c>
      <c r="C53">
        <f>SUMIFS('02_AGENDA'!$X$4:$X$500,'02_AGENDA'!$B$4:$B$500,$A53,'02_AGENDA'!$Z$4:$Z$500,"Sí")</f>
        <v>0</v>
      </c>
      <c r="E53">
        <f>SUMIFS('02_AGENDA'!$W$4:$W$500,'02_AGENDA'!$B$4:$B$500,$A53,'02_AGENDA'!$E$4:$E$500,"Reunión")</f>
        <v>0</v>
      </c>
      <c r="F53">
        <f>SUMIFS('02_AGENDA'!$W$4:$W$500,'02_AGENDA'!$B$4:$B$500,$A53)</f>
        <v>0</v>
      </c>
      <c r="G53">
        <f>SUMIFS('02_AGENDA'!$X$4:$X$500,'02_AGENDA'!$B$4:$B$500,$A53,'02_AGENDA'!$M$4:$M$500,"Hecho")</f>
        <v>0</v>
      </c>
    </row>
    <row r="54" spans="1:7">
      <c r="A54" s="13">
        <v>46275</v>
      </c>
      <c r="B54">
        <f>SUMIFS('02_AGENDA'!$W$4:$W$500,'02_AGENDA'!$B$4:$B$500,$A54,'02_AGENDA'!$Z$4:$Z$500,"Sí")</f>
        <v>0</v>
      </c>
      <c r="C54">
        <f>SUMIFS('02_AGENDA'!$X$4:$X$500,'02_AGENDA'!$B$4:$B$500,$A54,'02_AGENDA'!$Z$4:$Z$500,"Sí")</f>
        <v>0</v>
      </c>
      <c r="E54">
        <f>SUMIFS('02_AGENDA'!$W$4:$W$500,'02_AGENDA'!$B$4:$B$500,$A54,'02_AGENDA'!$E$4:$E$500,"Reunión")</f>
        <v>0</v>
      </c>
      <c r="F54">
        <f>SUMIFS('02_AGENDA'!$W$4:$W$500,'02_AGENDA'!$B$4:$B$500,$A54)</f>
        <v>0</v>
      </c>
      <c r="G54">
        <f>SUMIFS('02_AGENDA'!$X$4:$X$500,'02_AGENDA'!$B$4:$B$500,$A54,'02_AGENDA'!$M$4:$M$500,"Hecho")</f>
        <v>0</v>
      </c>
    </row>
    <row r="55" spans="1:7">
      <c r="A55" s="13">
        <v>46276</v>
      </c>
      <c r="B55">
        <f>SUMIFS('02_AGENDA'!$W$4:$W$500,'02_AGENDA'!$B$4:$B$500,$A55,'02_AGENDA'!$Z$4:$Z$500,"Sí")</f>
        <v>0</v>
      </c>
      <c r="C55">
        <f>SUMIFS('02_AGENDA'!$X$4:$X$500,'02_AGENDA'!$B$4:$B$500,$A55,'02_AGENDA'!$Z$4:$Z$500,"Sí")</f>
        <v>0</v>
      </c>
      <c r="E55">
        <f>SUMIFS('02_AGENDA'!$W$4:$W$500,'02_AGENDA'!$B$4:$B$500,$A55,'02_AGENDA'!$E$4:$E$500,"Reunión")</f>
        <v>0</v>
      </c>
      <c r="F55">
        <f>SUMIFS('02_AGENDA'!$W$4:$W$500,'02_AGENDA'!$B$4:$B$500,$A55)</f>
        <v>0</v>
      </c>
      <c r="G55">
        <f>SUMIFS('02_AGENDA'!$X$4:$X$500,'02_AGENDA'!$B$4:$B$500,$A55,'02_AGENDA'!$M$4:$M$500,"Hecho")</f>
        <v>0</v>
      </c>
    </row>
    <row r="56" spans="1:7">
      <c r="A56" s="13">
        <v>46277</v>
      </c>
      <c r="B56">
        <f>SUMIFS('02_AGENDA'!$W$4:$W$500,'02_AGENDA'!$B$4:$B$500,$A56,'02_AGENDA'!$Z$4:$Z$500,"Sí")</f>
        <v>0</v>
      </c>
      <c r="C56">
        <f>SUMIFS('02_AGENDA'!$X$4:$X$500,'02_AGENDA'!$B$4:$B$500,$A56,'02_AGENDA'!$Z$4:$Z$500,"Sí")</f>
        <v>0</v>
      </c>
      <c r="E56">
        <f>SUMIFS('02_AGENDA'!$W$4:$W$500,'02_AGENDA'!$B$4:$B$500,$A56,'02_AGENDA'!$E$4:$E$500,"Reunión")</f>
        <v>0</v>
      </c>
      <c r="F56">
        <f>SUMIFS('02_AGENDA'!$W$4:$W$500,'02_AGENDA'!$B$4:$B$500,$A56)</f>
        <v>0</v>
      </c>
      <c r="G56">
        <f>SUMIFS('02_AGENDA'!$X$4:$X$500,'02_AGENDA'!$B$4:$B$500,$A56,'02_AGENDA'!$M$4:$M$500,"Hecho")</f>
        <v>0</v>
      </c>
    </row>
    <row r="57" spans="1:7">
      <c r="A57" s="13">
        <v>46278</v>
      </c>
      <c r="B57">
        <f>SUMIFS('02_AGENDA'!$W$4:$W$500,'02_AGENDA'!$B$4:$B$500,$A57,'02_AGENDA'!$Z$4:$Z$500,"Sí")</f>
        <v>0</v>
      </c>
      <c r="C57">
        <f>SUMIFS('02_AGENDA'!$X$4:$X$500,'02_AGENDA'!$B$4:$B$500,$A57,'02_AGENDA'!$Z$4:$Z$500,"Sí")</f>
        <v>0</v>
      </c>
      <c r="E57">
        <f>SUMIFS('02_AGENDA'!$W$4:$W$500,'02_AGENDA'!$B$4:$B$500,$A57,'02_AGENDA'!$E$4:$E$500,"Reunión")</f>
        <v>0</v>
      </c>
      <c r="F57">
        <f>SUMIFS('02_AGENDA'!$W$4:$W$500,'02_AGENDA'!$B$4:$B$500,$A57)</f>
        <v>0</v>
      </c>
      <c r="G57">
        <f>SUMIFS('02_AGENDA'!$X$4:$X$500,'02_AGENDA'!$B$4:$B$500,$A57,'02_AGENDA'!$M$4:$M$500,"Hecho")</f>
        <v>0</v>
      </c>
    </row>
    <row r="58" spans="1:7">
      <c r="A58" s="13">
        <v>46279</v>
      </c>
      <c r="B58">
        <f>SUMIFS('02_AGENDA'!$W$4:$W$500,'02_AGENDA'!$B$4:$B$500,$A58,'02_AGENDA'!$Z$4:$Z$500,"Sí")</f>
        <v>0</v>
      </c>
      <c r="C58">
        <f>SUMIFS('02_AGENDA'!$X$4:$X$500,'02_AGENDA'!$B$4:$B$500,$A58,'02_AGENDA'!$Z$4:$Z$500,"Sí")</f>
        <v>0</v>
      </c>
      <c r="E58">
        <f>SUMIFS('02_AGENDA'!$W$4:$W$500,'02_AGENDA'!$B$4:$B$500,$A58,'02_AGENDA'!$E$4:$E$500,"Reunión")</f>
        <v>0</v>
      </c>
      <c r="F58">
        <f>SUMIFS('02_AGENDA'!$W$4:$W$500,'02_AGENDA'!$B$4:$B$500,$A58)</f>
        <v>0</v>
      </c>
      <c r="G58">
        <f>SUMIFS('02_AGENDA'!$X$4:$X$500,'02_AGENDA'!$B$4:$B$500,$A58,'02_AGENDA'!$M$4:$M$500,"Hecho")</f>
        <v>0</v>
      </c>
    </row>
    <row r="59" spans="1:7">
      <c r="A59" s="13">
        <v>46280</v>
      </c>
      <c r="B59">
        <f>SUMIFS('02_AGENDA'!$W$4:$W$500,'02_AGENDA'!$B$4:$B$500,$A59,'02_AGENDA'!$Z$4:$Z$500,"Sí")</f>
        <v>0</v>
      </c>
      <c r="C59">
        <f>SUMIFS('02_AGENDA'!$X$4:$X$500,'02_AGENDA'!$B$4:$B$500,$A59,'02_AGENDA'!$Z$4:$Z$500,"Sí")</f>
        <v>0</v>
      </c>
      <c r="E59">
        <f>SUMIFS('02_AGENDA'!$W$4:$W$500,'02_AGENDA'!$B$4:$B$500,$A59,'02_AGENDA'!$E$4:$E$500,"Reunión")</f>
        <v>0</v>
      </c>
      <c r="F59">
        <f>SUMIFS('02_AGENDA'!$W$4:$W$500,'02_AGENDA'!$B$4:$B$500,$A59)</f>
        <v>0</v>
      </c>
      <c r="G59">
        <f>SUMIFS('02_AGENDA'!$X$4:$X$500,'02_AGENDA'!$B$4:$B$500,$A59,'02_AGENDA'!$M$4:$M$500,"Hecho")</f>
        <v>0</v>
      </c>
    </row>
    <row r="60" spans="1:7">
      <c r="A60" s="13">
        <v>46281</v>
      </c>
      <c r="B60">
        <f>SUMIFS('02_AGENDA'!$W$4:$W$500,'02_AGENDA'!$B$4:$B$500,$A60,'02_AGENDA'!$Z$4:$Z$500,"Sí")</f>
        <v>0</v>
      </c>
      <c r="C60">
        <f>SUMIFS('02_AGENDA'!$X$4:$X$500,'02_AGENDA'!$B$4:$B$500,$A60,'02_AGENDA'!$Z$4:$Z$500,"Sí")</f>
        <v>0</v>
      </c>
      <c r="E60">
        <f>SUMIFS('02_AGENDA'!$W$4:$W$500,'02_AGENDA'!$B$4:$B$500,$A60,'02_AGENDA'!$E$4:$E$500,"Reunión")</f>
        <v>0</v>
      </c>
      <c r="F60">
        <f>SUMIFS('02_AGENDA'!$W$4:$W$500,'02_AGENDA'!$B$4:$B$500,$A60)</f>
        <v>0</v>
      </c>
      <c r="G60">
        <f>SUMIFS('02_AGENDA'!$X$4:$X$500,'02_AGENDA'!$B$4:$B$500,$A60,'02_AGENDA'!$M$4:$M$500,"Hecho")</f>
        <v>0</v>
      </c>
    </row>
    <row r="61" spans="1:7">
      <c r="A61" s="13">
        <v>46282</v>
      </c>
      <c r="B61">
        <f>SUMIFS('02_AGENDA'!$W$4:$W$500,'02_AGENDA'!$B$4:$B$500,$A61,'02_AGENDA'!$Z$4:$Z$500,"Sí")</f>
        <v>0</v>
      </c>
      <c r="C61">
        <f>SUMIFS('02_AGENDA'!$X$4:$X$500,'02_AGENDA'!$B$4:$B$500,$A61,'02_AGENDA'!$Z$4:$Z$500,"Sí")</f>
        <v>0</v>
      </c>
      <c r="E61">
        <f>SUMIFS('02_AGENDA'!$W$4:$W$500,'02_AGENDA'!$B$4:$B$500,$A61,'02_AGENDA'!$E$4:$E$500,"Reunión")</f>
        <v>0</v>
      </c>
      <c r="F61">
        <f>SUMIFS('02_AGENDA'!$W$4:$W$500,'02_AGENDA'!$B$4:$B$500,$A61)</f>
        <v>0</v>
      </c>
      <c r="G61">
        <f>SUMIFS('02_AGENDA'!$X$4:$X$500,'02_AGENDA'!$B$4:$B$500,$A61,'02_AGENDA'!$M$4:$M$500,"Hecho")</f>
        <v>0</v>
      </c>
    </row>
    <row r="62" spans="1:7">
      <c r="A62" s="13">
        <v>46283</v>
      </c>
      <c r="B62">
        <f>SUMIFS('02_AGENDA'!$W$4:$W$500,'02_AGENDA'!$B$4:$B$500,$A62,'02_AGENDA'!$Z$4:$Z$500,"Sí")</f>
        <v>0</v>
      </c>
      <c r="C62">
        <f>SUMIFS('02_AGENDA'!$X$4:$X$500,'02_AGENDA'!$B$4:$B$500,$A62,'02_AGENDA'!$Z$4:$Z$500,"Sí")</f>
        <v>0</v>
      </c>
      <c r="E62">
        <f>SUMIFS('02_AGENDA'!$W$4:$W$500,'02_AGENDA'!$B$4:$B$500,$A62,'02_AGENDA'!$E$4:$E$500,"Reunión")</f>
        <v>0</v>
      </c>
      <c r="F62">
        <f>SUMIFS('02_AGENDA'!$W$4:$W$500,'02_AGENDA'!$B$4:$B$500,$A62)</f>
        <v>0</v>
      </c>
      <c r="G62">
        <f>SUMIFS('02_AGENDA'!$X$4:$X$500,'02_AGENDA'!$B$4:$B$500,$A62,'02_AGENDA'!$M$4:$M$500,"Hecho")</f>
        <v>0</v>
      </c>
    </row>
    <row r="63" spans="1:7">
      <c r="A63" s="13">
        <v>46284</v>
      </c>
      <c r="B63">
        <f>SUMIFS('02_AGENDA'!$W$4:$W$500,'02_AGENDA'!$B$4:$B$500,$A63,'02_AGENDA'!$Z$4:$Z$500,"Sí")</f>
        <v>0</v>
      </c>
      <c r="C63">
        <f>SUMIFS('02_AGENDA'!$X$4:$X$500,'02_AGENDA'!$B$4:$B$500,$A63,'02_AGENDA'!$Z$4:$Z$500,"Sí")</f>
        <v>0</v>
      </c>
      <c r="E63">
        <f>SUMIFS('02_AGENDA'!$W$4:$W$500,'02_AGENDA'!$B$4:$B$500,$A63,'02_AGENDA'!$E$4:$E$500,"Reunión")</f>
        <v>0</v>
      </c>
      <c r="F63">
        <f>SUMIFS('02_AGENDA'!$W$4:$W$500,'02_AGENDA'!$B$4:$B$500,$A63)</f>
        <v>0</v>
      </c>
      <c r="G63">
        <f>SUMIFS('02_AGENDA'!$X$4:$X$500,'02_AGENDA'!$B$4:$B$500,$A63,'02_AGENDA'!$M$4:$M$500,"Hecho")</f>
        <v>0</v>
      </c>
    </row>
    <row r="64" spans="1:7">
      <c r="A64" s="13">
        <v>46285</v>
      </c>
      <c r="B64">
        <f>SUMIFS('02_AGENDA'!$W$4:$W$500,'02_AGENDA'!$B$4:$B$500,$A64,'02_AGENDA'!$Z$4:$Z$500,"Sí")</f>
        <v>0</v>
      </c>
      <c r="C64">
        <f>SUMIFS('02_AGENDA'!$X$4:$X$500,'02_AGENDA'!$B$4:$B$500,$A64,'02_AGENDA'!$Z$4:$Z$500,"Sí")</f>
        <v>0</v>
      </c>
      <c r="E64">
        <f>SUMIFS('02_AGENDA'!$W$4:$W$500,'02_AGENDA'!$B$4:$B$500,$A64,'02_AGENDA'!$E$4:$E$500,"Reunión")</f>
        <v>0</v>
      </c>
      <c r="F64">
        <f>SUMIFS('02_AGENDA'!$W$4:$W$500,'02_AGENDA'!$B$4:$B$500,$A64)</f>
        <v>0</v>
      </c>
      <c r="G64">
        <f>SUMIFS('02_AGENDA'!$X$4:$X$500,'02_AGENDA'!$B$4:$B$500,$A64,'02_AGENDA'!$M$4:$M$500,"Hecho")</f>
        <v>0</v>
      </c>
    </row>
    <row r="65" spans="1:7">
      <c r="A65" s="13">
        <v>46286</v>
      </c>
      <c r="B65">
        <f>SUMIFS('02_AGENDA'!$W$4:$W$500,'02_AGENDA'!$B$4:$B$500,$A65,'02_AGENDA'!$Z$4:$Z$500,"Sí")</f>
        <v>0</v>
      </c>
      <c r="C65">
        <f>SUMIFS('02_AGENDA'!$X$4:$X$500,'02_AGENDA'!$B$4:$B$500,$A65,'02_AGENDA'!$Z$4:$Z$500,"Sí")</f>
        <v>0</v>
      </c>
      <c r="E65">
        <f>SUMIFS('02_AGENDA'!$W$4:$W$500,'02_AGENDA'!$B$4:$B$500,$A65,'02_AGENDA'!$E$4:$E$500,"Reunión")</f>
        <v>0</v>
      </c>
      <c r="F65">
        <f>SUMIFS('02_AGENDA'!$W$4:$W$500,'02_AGENDA'!$B$4:$B$500,$A65)</f>
        <v>0</v>
      </c>
      <c r="G65">
        <f>SUMIFS('02_AGENDA'!$X$4:$X$500,'02_AGENDA'!$B$4:$B$500,$A65,'02_AGENDA'!$M$4:$M$500,"Hecho")</f>
        <v>0</v>
      </c>
    </row>
    <row r="66" spans="1:7">
      <c r="A66" s="13">
        <v>46287</v>
      </c>
      <c r="B66">
        <f>SUMIFS('02_AGENDA'!$W$4:$W$500,'02_AGENDA'!$B$4:$B$500,$A66,'02_AGENDA'!$Z$4:$Z$500,"Sí")</f>
        <v>0</v>
      </c>
      <c r="C66">
        <f>SUMIFS('02_AGENDA'!$X$4:$X$500,'02_AGENDA'!$B$4:$B$500,$A66,'02_AGENDA'!$Z$4:$Z$500,"Sí")</f>
        <v>0</v>
      </c>
      <c r="E66">
        <f>SUMIFS('02_AGENDA'!$W$4:$W$500,'02_AGENDA'!$B$4:$B$500,$A66,'02_AGENDA'!$E$4:$E$500,"Reunión")</f>
        <v>0</v>
      </c>
      <c r="F66">
        <f>SUMIFS('02_AGENDA'!$W$4:$W$500,'02_AGENDA'!$B$4:$B$500,$A66)</f>
        <v>0</v>
      </c>
      <c r="G66">
        <f>SUMIFS('02_AGENDA'!$X$4:$X$500,'02_AGENDA'!$B$4:$B$500,$A66,'02_AGENDA'!$M$4:$M$500,"Hecho")</f>
        <v>0</v>
      </c>
    </row>
    <row r="67" spans="1:7">
      <c r="A67" s="13">
        <v>46288</v>
      </c>
      <c r="B67">
        <f>SUMIFS('02_AGENDA'!$W$4:$W$500,'02_AGENDA'!$B$4:$B$500,$A67,'02_AGENDA'!$Z$4:$Z$500,"Sí")</f>
        <v>0</v>
      </c>
      <c r="C67">
        <f>SUMIFS('02_AGENDA'!$X$4:$X$500,'02_AGENDA'!$B$4:$B$500,$A67,'02_AGENDA'!$Z$4:$Z$500,"Sí")</f>
        <v>0</v>
      </c>
      <c r="E67">
        <f>SUMIFS('02_AGENDA'!$W$4:$W$500,'02_AGENDA'!$B$4:$B$500,$A67,'02_AGENDA'!$E$4:$E$500,"Reunión")</f>
        <v>0</v>
      </c>
      <c r="F67">
        <f>SUMIFS('02_AGENDA'!$W$4:$W$500,'02_AGENDA'!$B$4:$B$500,$A67)</f>
        <v>0</v>
      </c>
      <c r="G67">
        <f>SUMIFS('02_AGENDA'!$X$4:$X$500,'02_AGENDA'!$B$4:$B$500,$A67,'02_AGENDA'!$M$4:$M$500,"Hecho")</f>
        <v>0</v>
      </c>
    </row>
    <row r="68" spans="1:7">
      <c r="A68" s="13">
        <v>46289</v>
      </c>
      <c r="B68">
        <f>SUMIFS('02_AGENDA'!$W$4:$W$500,'02_AGENDA'!$B$4:$B$500,$A68,'02_AGENDA'!$Z$4:$Z$500,"Sí")</f>
        <v>0</v>
      </c>
      <c r="C68">
        <f>SUMIFS('02_AGENDA'!$X$4:$X$500,'02_AGENDA'!$B$4:$B$500,$A68,'02_AGENDA'!$Z$4:$Z$500,"Sí")</f>
        <v>0</v>
      </c>
      <c r="E68">
        <f>SUMIFS('02_AGENDA'!$W$4:$W$500,'02_AGENDA'!$B$4:$B$500,$A68,'02_AGENDA'!$E$4:$E$500,"Reunión")</f>
        <v>0</v>
      </c>
      <c r="F68">
        <f>SUMIFS('02_AGENDA'!$W$4:$W$500,'02_AGENDA'!$B$4:$B$500,$A68)</f>
        <v>0</v>
      </c>
      <c r="G68">
        <f>SUMIFS('02_AGENDA'!$X$4:$X$500,'02_AGENDA'!$B$4:$B$500,$A68,'02_AGENDA'!$M$4:$M$500,"Hecho")</f>
        <v>0</v>
      </c>
    </row>
    <row r="69" spans="1:7">
      <c r="A69" s="13">
        <v>46290</v>
      </c>
      <c r="B69">
        <f>SUMIFS('02_AGENDA'!$W$4:$W$500,'02_AGENDA'!$B$4:$B$500,$A69,'02_AGENDA'!$Z$4:$Z$500,"Sí")</f>
        <v>0</v>
      </c>
      <c r="C69">
        <f>SUMIFS('02_AGENDA'!$X$4:$X$500,'02_AGENDA'!$B$4:$B$500,$A69,'02_AGENDA'!$Z$4:$Z$500,"Sí")</f>
        <v>0</v>
      </c>
      <c r="E69">
        <f>SUMIFS('02_AGENDA'!$W$4:$W$500,'02_AGENDA'!$B$4:$B$500,$A69,'02_AGENDA'!$E$4:$E$500,"Reunión")</f>
        <v>0</v>
      </c>
      <c r="F69">
        <f>SUMIFS('02_AGENDA'!$W$4:$W$500,'02_AGENDA'!$B$4:$B$500,$A69)</f>
        <v>0</v>
      </c>
      <c r="G69">
        <f>SUMIFS('02_AGENDA'!$X$4:$X$500,'02_AGENDA'!$B$4:$B$500,$A69,'02_AGENDA'!$M$4:$M$500,"Hecho")</f>
        <v>0</v>
      </c>
    </row>
    <row r="70" spans="1:7">
      <c r="A70" s="13">
        <v>46291</v>
      </c>
      <c r="B70">
        <f>SUMIFS('02_AGENDA'!$W$4:$W$500,'02_AGENDA'!$B$4:$B$500,$A70,'02_AGENDA'!$Z$4:$Z$500,"Sí")</f>
        <v>0</v>
      </c>
      <c r="C70">
        <f>SUMIFS('02_AGENDA'!$X$4:$X$500,'02_AGENDA'!$B$4:$B$500,$A70,'02_AGENDA'!$Z$4:$Z$500,"Sí")</f>
        <v>0</v>
      </c>
      <c r="E70">
        <f>SUMIFS('02_AGENDA'!$W$4:$W$500,'02_AGENDA'!$B$4:$B$500,$A70,'02_AGENDA'!$E$4:$E$500,"Reunión")</f>
        <v>0</v>
      </c>
      <c r="F70">
        <f>SUMIFS('02_AGENDA'!$W$4:$W$500,'02_AGENDA'!$B$4:$B$500,$A70)</f>
        <v>0</v>
      </c>
      <c r="G70">
        <f>SUMIFS('02_AGENDA'!$X$4:$X$500,'02_AGENDA'!$B$4:$B$500,$A70,'02_AGENDA'!$M$4:$M$500,"Hecho")</f>
        <v>0</v>
      </c>
    </row>
    <row r="71" spans="1:7">
      <c r="A71" s="13">
        <v>46292</v>
      </c>
      <c r="B71">
        <f>SUMIFS('02_AGENDA'!$W$4:$W$500,'02_AGENDA'!$B$4:$B$500,$A71,'02_AGENDA'!$Z$4:$Z$500,"Sí")</f>
        <v>0</v>
      </c>
      <c r="C71">
        <f>SUMIFS('02_AGENDA'!$X$4:$X$500,'02_AGENDA'!$B$4:$B$500,$A71,'02_AGENDA'!$Z$4:$Z$500,"Sí")</f>
        <v>0</v>
      </c>
      <c r="E71">
        <f>SUMIFS('02_AGENDA'!$W$4:$W$500,'02_AGENDA'!$B$4:$B$500,$A71,'02_AGENDA'!$E$4:$E$500,"Reunión")</f>
        <v>0</v>
      </c>
      <c r="F71">
        <f>SUMIFS('02_AGENDA'!$W$4:$W$500,'02_AGENDA'!$B$4:$B$500,$A71)</f>
        <v>0</v>
      </c>
      <c r="G71">
        <f>SUMIFS('02_AGENDA'!$X$4:$X$500,'02_AGENDA'!$B$4:$B$500,$A71,'02_AGENDA'!$M$4:$M$500,"Hecho")</f>
        <v>0</v>
      </c>
    </row>
    <row r="72" spans="1:7">
      <c r="A72" s="13">
        <v>46293</v>
      </c>
      <c r="B72">
        <f>SUMIFS('02_AGENDA'!$W$4:$W$500,'02_AGENDA'!$B$4:$B$500,$A72,'02_AGENDA'!$Z$4:$Z$500,"Sí")</f>
        <v>0</v>
      </c>
      <c r="C72">
        <f>SUMIFS('02_AGENDA'!$X$4:$X$500,'02_AGENDA'!$B$4:$B$500,$A72,'02_AGENDA'!$Z$4:$Z$500,"Sí")</f>
        <v>0</v>
      </c>
      <c r="E72">
        <f>SUMIFS('02_AGENDA'!$W$4:$W$500,'02_AGENDA'!$B$4:$B$500,$A72,'02_AGENDA'!$E$4:$E$500,"Reunión")</f>
        <v>0</v>
      </c>
      <c r="F72">
        <f>SUMIFS('02_AGENDA'!$W$4:$W$500,'02_AGENDA'!$B$4:$B$500,$A72)</f>
        <v>0</v>
      </c>
      <c r="G72">
        <f>SUMIFS('02_AGENDA'!$X$4:$X$500,'02_AGENDA'!$B$4:$B$500,$A72,'02_AGENDA'!$M$4:$M$500,"Hecho")</f>
        <v>0</v>
      </c>
    </row>
    <row r="73" spans="1:7">
      <c r="A73" s="13">
        <v>46294</v>
      </c>
      <c r="B73">
        <f>SUMIFS('02_AGENDA'!$W$4:$W$500,'02_AGENDA'!$B$4:$B$500,$A73,'02_AGENDA'!$Z$4:$Z$500,"Sí")</f>
        <v>0</v>
      </c>
      <c r="C73">
        <f>SUMIFS('02_AGENDA'!$X$4:$X$500,'02_AGENDA'!$B$4:$B$500,$A73,'02_AGENDA'!$Z$4:$Z$500,"Sí")</f>
        <v>0</v>
      </c>
      <c r="E73">
        <f>SUMIFS('02_AGENDA'!$W$4:$W$500,'02_AGENDA'!$B$4:$B$500,$A73,'02_AGENDA'!$E$4:$E$500,"Reunión")</f>
        <v>0</v>
      </c>
      <c r="F73">
        <f>SUMIFS('02_AGENDA'!$W$4:$W$500,'02_AGENDA'!$B$4:$B$500,$A73)</f>
        <v>0</v>
      </c>
      <c r="G73">
        <f>SUMIFS('02_AGENDA'!$X$4:$X$500,'02_AGENDA'!$B$4:$B$500,$A73,'02_AGENDA'!$M$4:$M$500,"Hecho")</f>
        <v>0</v>
      </c>
    </row>
    <row r="74" spans="1:7">
      <c r="A74" s="13">
        <v>46295</v>
      </c>
      <c r="B74">
        <f>SUMIFS('02_AGENDA'!$W$4:$W$500,'02_AGENDA'!$B$4:$B$500,$A74,'02_AGENDA'!$Z$4:$Z$500,"Sí")</f>
        <v>0</v>
      </c>
      <c r="C74">
        <f>SUMIFS('02_AGENDA'!$X$4:$X$500,'02_AGENDA'!$B$4:$B$500,$A74,'02_AGENDA'!$Z$4:$Z$500,"Sí")</f>
        <v>0</v>
      </c>
      <c r="E74">
        <f>SUMIFS('02_AGENDA'!$W$4:$W$500,'02_AGENDA'!$B$4:$B$500,$A74,'02_AGENDA'!$E$4:$E$500,"Reunión")</f>
        <v>0</v>
      </c>
      <c r="F74">
        <f>SUMIFS('02_AGENDA'!$W$4:$W$500,'02_AGENDA'!$B$4:$B$500,$A74)</f>
        <v>0</v>
      </c>
      <c r="G74">
        <f>SUMIFS('02_AGENDA'!$X$4:$X$500,'02_AGENDA'!$B$4:$B$500,$A74,'02_AGENDA'!$M$4:$M$500,"Hecho")</f>
        <v>0</v>
      </c>
    </row>
    <row r="75" spans="1:7">
      <c r="A75" s="13">
        <v>46296</v>
      </c>
      <c r="B75">
        <f>SUMIFS('02_AGENDA'!$W$4:$W$500,'02_AGENDA'!$B$4:$B$500,$A75,'02_AGENDA'!$Z$4:$Z$500,"Sí")</f>
        <v>0</v>
      </c>
      <c r="C75">
        <f>SUMIFS('02_AGENDA'!$X$4:$X$500,'02_AGENDA'!$B$4:$B$500,$A75,'02_AGENDA'!$Z$4:$Z$500,"Sí")</f>
        <v>0</v>
      </c>
      <c r="E75">
        <f>SUMIFS('02_AGENDA'!$W$4:$W$500,'02_AGENDA'!$B$4:$B$500,$A75,'02_AGENDA'!$E$4:$E$500,"Reunión")</f>
        <v>0</v>
      </c>
      <c r="F75">
        <f>SUMIFS('02_AGENDA'!$W$4:$W$500,'02_AGENDA'!$B$4:$B$500,$A75)</f>
        <v>0</v>
      </c>
      <c r="G75">
        <f>SUMIFS('02_AGENDA'!$X$4:$X$500,'02_AGENDA'!$B$4:$B$500,$A75,'02_AGENDA'!$M$4:$M$500,"Hecho")</f>
        <v>0</v>
      </c>
    </row>
    <row r="76" spans="1:7">
      <c r="A76" s="13">
        <v>46297</v>
      </c>
      <c r="B76">
        <f>SUMIFS('02_AGENDA'!$W$4:$W$500,'02_AGENDA'!$B$4:$B$500,$A76,'02_AGENDA'!$Z$4:$Z$500,"Sí")</f>
        <v>0</v>
      </c>
      <c r="C76">
        <f>SUMIFS('02_AGENDA'!$X$4:$X$500,'02_AGENDA'!$B$4:$B$500,$A76,'02_AGENDA'!$Z$4:$Z$500,"Sí")</f>
        <v>0</v>
      </c>
      <c r="E76">
        <f>SUMIFS('02_AGENDA'!$W$4:$W$500,'02_AGENDA'!$B$4:$B$500,$A76,'02_AGENDA'!$E$4:$E$500,"Reunión")</f>
        <v>0</v>
      </c>
      <c r="F76">
        <f>SUMIFS('02_AGENDA'!$W$4:$W$500,'02_AGENDA'!$B$4:$B$500,$A76)</f>
        <v>0</v>
      </c>
      <c r="G76">
        <f>SUMIFS('02_AGENDA'!$X$4:$X$500,'02_AGENDA'!$B$4:$B$500,$A76,'02_AGENDA'!$M$4:$M$500,"Hecho")</f>
        <v>0</v>
      </c>
    </row>
    <row r="77" spans="1:7">
      <c r="A77" s="13">
        <v>46298</v>
      </c>
      <c r="B77">
        <f>SUMIFS('02_AGENDA'!$W$4:$W$500,'02_AGENDA'!$B$4:$B$500,$A77,'02_AGENDA'!$Z$4:$Z$500,"Sí")</f>
        <v>0</v>
      </c>
      <c r="C77">
        <f>SUMIFS('02_AGENDA'!$X$4:$X$500,'02_AGENDA'!$B$4:$B$500,$A77,'02_AGENDA'!$Z$4:$Z$500,"Sí")</f>
        <v>0</v>
      </c>
      <c r="E77">
        <f>SUMIFS('02_AGENDA'!$W$4:$W$500,'02_AGENDA'!$B$4:$B$500,$A77,'02_AGENDA'!$E$4:$E$500,"Reunión")</f>
        <v>0</v>
      </c>
      <c r="F77">
        <f>SUMIFS('02_AGENDA'!$W$4:$W$500,'02_AGENDA'!$B$4:$B$500,$A77)</f>
        <v>0</v>
      </c>
      <c r="G77">
        <f>SUMIFS('02_AGENDA'!$X$4:$X$500,'02_AGENDA'!$B$4:$B$500,$A77,'02_AGENDA'!$M$4:$M$500,"Hecho")</f>
        <v>0</v>
      </c>
    </row>
    <row r="78" spans="1:7">
      <c r="A78" s="13">
        <v>46299</v>
      </c>
      <c r="B78">
        <f>SUMIFS('02_AGENDA'!$W$4:$W$500,'02_AGENDA'!$B$4:$B$500,$A78,'02_AGENDA'!$Z$4:$Z$500,"Sí")</f>
        <v>0</v>
      </c>
      <c r="C78">
        <f>SUMIFS('02_AGENDA'!$X$4:$X$500,'02_AGENDA'!$B$4:$B$500,$A78,'02_AGENDA'!$Z$4:$Z$500,"Sí")</f>
        <v>0</v>
      </c>
      <c r="E78">
        <f>SUMIFS('02_AGENDA'!$W$4:$W$500,'02_AGENDA'!$B$4:$B$500,$A78,'02_AGENDA'!$E$4:$E$500,"Reunión")</f>
        <v>0</v>
      </c>
      <c r="F78">
        <f>SUMIFS('02_AGENDA'!$W$4:$W$500,'02_AGENDA'!$B$4:$B$500,$A78)</f>
        <v>0</v>
      </c>
      <c r="G78">
        <f>SUMIFS('02_AGENDA'!$X$4:$X$500,'02_AGENDA'!$B$4:$B$500,$A78,'02_AGENDA'!$M$4:$M$500,"Hecho")</f>
        <v>0</v>
      </c>
    </row>
    <row r="79" spans="1:7">
      <c r="A79" s="13">
        <v>46300</v>
      </c>
      <c r="B79">
        <f>SUMIFS('02_AGENDA'!$W$4:$W$500,'02_AGENDA'!$B$4:$B$500,$A79,'02_AGENDA'!$Z$4:$Z$500,"Sí")</f>
        <v>0</v>
      </c>
      <c r="C79">
        <f>SUMIFS('02_AGENDA'!$X$4:$X$500,'02_AGENDA'!$B$4:$B$500,$A79,'02_AGENDA'!$Z$4:$Z$500,"Sí")</f>
        <v>0</v>
      </c>
      <c r="E79">
        <f>SUMIFS('02_AGENDA'!$W$4:$W$500,'02_AGENDA'!$B$4:$B$500,$A79,'02_AGENDA'!$E$4:$E$500,"Reunión")</f>
        <v>0</v>
      </c>
      <c r="F79">
        <f>SUMIFS('02_AGENDA'!$W$4:$W$500,'02_AGENDA'!$B$4:$B$500,$A79)</f>
        <v>0</v>
      </c>
      <c r="G79">
        <f>SUMIFS('02_AGENDA'!$X$4:$X$500,'02_AGENDA'!$B$4:$B$500,$A79,'02_AGENDA'!$M$4:$M$500,"Hecho")</f>
        <v>0</v>
      </c>
    </row>
    <row r="80" spans="1:7">
      <c r="A80" s="13">
        <v>46301</v>
      </c>
      <c r="B80">
        <f>SUMIFS('02_AGENDA'!$W$4:$W$500,'02_AGENDA'!$B$4:$B$500,$A80,'02_AGENDA'!$Z$4:$Z$500,"Sí")</f>
        <v>0</v>
      </c>
      <c r="C80">
        <f>SUMIFS('02_AGENDA'!$X$4:$X$500,'02_AGENDA'!$B$4:$B$500,$A80,'02_AGENDA'!$Z$4:$Z$500,"Sí")</f>
        <v>0</v>
      </c>
      <c r="E80">
        <f>SUMIFS('02_AGENDA'!$W$4:$W$500,'02_AGENDA'!$B$4:$B$500,$A80,'02_AGENDA'!$E$4:$E$500,"Reunión")</f>
        <v>0</v>
      </c>
      <c r="F80">
        <f>SUMIFS('02_AGENDA'!$W$4:$W$500,'02_AGENDA'!$B$4:$B$500,$A80)</f>
        <v>0</v>
      </c>
      <c r="G80">
        <f>SUMIFS('02_AGENDA'!$X$4:$X$500,'02_AGENDA'!$B$4:$B$500,$A80,'02_AGENDA'!$M$4:$M$500,"Hecho")</f>
        <v>0</v>
      </c>
    </row>
    <row r="81" spans="1:7">
      <c r="A81" s="13">
        <v>46302</v>
      </c>
      <c r="B81">
        <f>SUMIFS('02_AGENDA'!$W$4:$W$500,'02_AGENDA'!$B$4:$B$500,$A81,'02_AGENDA'!$Z$4:$Z$500,"Sí")</f>
        <v>0</v>
      </c>
      <c r="C81">
        <f>SUMIFS('02_AGENDA'!$X$4:$X$500,'02_AGENDA'!$B$4:$B$500,$A81,'02_AGENDA'!$Z$4:$Z$500,"Sí")</f>
        <v>0</v>
      </c>
      <c r="E81">
        <f>SUMIFS('02_AGENDA'!$W$4:$W$500,'02_AGENDA'!$B$4:$B$500,$A81,'02_AGENDA'!$E$4:$E$500,"Reunión")</f>
        <v>0</v>
      </c>
      <c r="F81">
        <f>SUMIFS('02_AGENDA'!$W$4:$W$500,'02_AGENDA'!$B$4:$B$500,$A81)</f>
        <v>0</v>
      </c>
      <c r="G81">
        <f>SUMIFS('02_AGENDA'!$X$4:$X$500,'02_AGENDA'!$B$4:$B$500,$A81,'02_AGENDA'!$M$4:$M$500,"Hecho")</f>
        <v>0</v>
      </c>
    </row>
    <row r="82" spans="1:7">
      <c r="A82" s="13">
        <v>46303</v>
      </c>
      <c r="B82">
        <f>SUMIFS('02_AGENDA'!$W$4:$W$500,'02_AGENDA'!$B$4:$B$500,$A82,'02_AGENDA'!$Z$4:$Z$500,"Sí")</f>
        <v>0</v>
      </c>
      <c r="C82">
        <f>SUMIFS('02_AGENDA'!$X$4:$X$500,'02_AGENDA'!$B$4:$B$500,$A82,'02_AGENDA'!$Z$4:$Z$500,"Sí")</f>
        <v>0</v>
      </c>
      <c r="E82">
        <f>SUMIFS('02_AGENDA'!$W$4:$W$500,'02_AGENDA'!$B$4:$B$500,$A82,'02_AGENDA'!$E$4:$E$500,"Reunión")</f>
        <v>0</v>
      </c>
      <c r="F82">
        <f>SUMIFS('02_AGENDA'!$W$4:$W$500,'02_AGENDA'!$B$4:$B$500,$A82)</f>
        <v>0</v>
      </c>
      <c r="G82">
        <f>SUMIFS('02_AGENDA'!$X$4:$X$500,'02_AGENDA'!$B$4:$B$500,$A82,'02_AGENDA'!$M$4:$M$500,"Hecho")</f>
        <v>0</v>
      </c>
    </row>
    <row r="83" spans="1:7">
      <c r="A83" s="13">
        <v>46304</v>
      </c>
      <c r="B83">
        <f>SUMIFS('02_AGENDA'!$W$4:$W$500,'02_AGENDA'!$B$4:$B$500,$A83,'02_AGENDA'!$Z$4:$Z$500,"Sí")</f>
        <v>0</v>
      </c>
      <c r="C83">
        <f>SUMIFS('02_AGENDA'!$X$4:$X$500,'02_AGENDA'!$B$4:$B$500,$A83,'02_AGENDA'!$Z$4:$Z$500,"Sí")</f>
        <v>0</v>
      </c>
      <c r="E83">
        <f>SUMIFS('02_AGENDA'!$W$4:$W$500,'02_AGENDA'!$B$4:$B$500,$A83,'02_AGENDA'!$E$4:$E$500,"Reunión")</f>
        <v>0</v>
      </c>
      <c r="F83">
        <f>SUMIFS('02_AGENDA'!$W$4:$W$500,'02_AGENDA'!$B$4:$B$500,$A83)</f>
        <v>0</v>
      </c>
      <c r="G83">
        <f>SUMIFS('02_AGENDA'!$X$4:$X$500,'02_AGENDA'!$B$4:$B$500,$A83,'02_AGENDA'!$M$4:$M$500,"Hecho")</f>
        <v>0</v>
      </c>
    </row>
    <row r="84" spans="1:7">
      <c r="A84" s="13">
        <v>46305</v>
      </c>
      <c r="B84">
        <f>SUMIFS('02_AGENDA'!$W$4:$W$500,'02_AGENDA'!$B$4:$B$500,$A84,'02_AGENDA'!$Z$4:$Z$500,"Sí")</f>
        <v>0</v>
      </c>
      <c r="C84">
        <f>SUMIFS('02_AGENDA'!$X$4:$X$500,'02_AGENDA'!$B$4:$B$500,$A84,'02_AGENDA'!$Z$4:$Z$500,"Sí")</f>
        <v>0</v>
      </c>
      <c r="E84">
        <f>SUMIFS('02_AGENDA'!$W$4:$W$500,'02_AGENDA'!$B$4:$B$500,$A84,'02_AGENDA'!$E$4:$E$500,"Reunión")</f>
        <v>0</v>
      </c>
      <c r="F84">
        <f>SUMIFS('02_AGENDA'!$W$4:$W$500,'02_AGENDA'!$B$4:$B$500,$A84)</f>
        <v>0</v>
      </c>
      <c r="G84">
        <f>SUMIFS('02_AGENDA'!$X$4:$X$500,'02_AGENDA'!$B$4:$B$500,$A84,'02_AGENDA'!$M$4:$M$500,"Hecho")</f>
        <v>0</v>
      </c>
    </row>
    <row r="85" spans="1:7">
      <c r="A85" s="13">
        <v>46306</v>
      </c>
      <c r="B85">
        <f>SUMIFS('02_AGENDA'!$W$4:$W$500,'02_AGENDA'!$B$4:$B$500,$A85,'02_AGENDA'!$Z$4:$Z$500,"Sí")</f>
        <v>0</v>
      </c>
      <c r="C85">
        <f>SUMIFS('02_AGENDA'!$X$4:$X$500,'02_AGENDA'!$B$4:$B$500,$A85,'02_AGENDA'!$Z$4:$Z$500,"Sí")</f>
        <v>0</v>
      </c>
      <c r="E85">
        <f>SUMIFS('02_AGENDA'!$W$4:$W$500,'02_AGENDA'!$B$4:$B$500,$A85,'02_AGENDA'!$E$4:$E$500,"Reunión")</f>
        <v>0</v>
      </c>
      <c r="F85">
        <f>SUMIFS('02_AGENDA'!$W$4:$W$500,'02_AGENDA'!$B$4:$B$500,$A85)</f>
        <v>0</v>
      </c>
      <c r="G85">
        <f>SUMIFS('02_AGENDA'!$X$4:$X$500,'02_AGENDA'!$B$4:$B$500,$A85,'02_AGENDA'!$M$4:$M$500,"Hecho")</f>
        <v>0</v>
      </c>
    </row>
    <row r="86" spans="1:7">
      <c r="A86" s="13">
        <v>46307</v>
      </c>
      <c r="B86">
        <f>SUMIFS('02_AGENDA'!$W$4:$W$500,'02_AGENDA'!$B$4:$B$500,$A86,'02_AGENDA'!$Z$4:$Z$500,"Sí")</f>
        <v>0</v>
      </c>
      <c r="C86">
        <f>SUMIFS('02_AGENDA'!$X$4:$X$500,'02_AGENDA'!$B$4:$B$500,$A86,'02_AGENDA'!$Z$4:$Z$500,"Sí")</f>
        <v>0</v>
      </c>
      <c r="E86">
        <f>SUMIFS('02_AGENDA'!$W$4:$W$500,'02_AGENDA'!$B$4:$B$500,$A86,'02_AGENDA'!$E$4:$E$500,"Reunión")</f>
        <v>0</v>
      </c>
      <c r="F86">
        <f>SUMIFS('02_AGENDA'!$W$4:$W$500,'02_AGENDA'!$B$4:$B$500,$A86)</f>
        <v>0</v>
      </c>
      <c r="G86">
        <f>SUMIFS('02_AGENDA'!$X$4:$X$500,'02_AGENDA'!$B$4:$B$500,$A86,'02_AGENDA'!$M$4:$M$500,"Hecho")</f>
        <v>0</v>
      </c>
    </row>
    <row r="87" spans="1:7">
      <c r="A87" s="13">
        <v>46308</v>
      </c>
      <c r="B87">
        <f>SUMIFS('02_AGENDA'!$W$4:$W$500,'02_AGENDA'!$B$4:$B$500,$A87,'02_AGENDA'!$Z$4:$Z$500,"Sí")</f>
        <v>0</v>
      </c>
      <c r="C87">
        <f>SUMIFS('02_AGENDA'!$X$4:$X$500,'02_AGENDA'!$B$4:$B$500,$A87,'02_AGENDA'!$Z$4:$Z$500,"Sí")</f>
        <v>0</v>
      </c>
      <c r="E87">
        <f>SUMIFS('02_AGENDA'!$W$4:$W$500,'02_AGENDA'!$B$4:$B$500,$A87,'02_AGENDA'!$E$4:$E$500,"Reunión")</f>
        <v>0</v>
      </c>
      <c r="F87">
        <f>SUMIFS('02_AGENDA'!$W$4:$W$500,'02_AGENDA'!$B$4:$B$500,$A87)</f>
        <v>0</v>
      </c>
      <c r="G87">
        <f>SUMIFS('02_AGENDA'!$X$4:$X$500,'02_AGENDA'!$B$4:$B$500,$A87,'02_AGENDA'!$M$4:$M$500,"Hecho")</f>
        <v>0</v>
      </c>
    </row>
    <row r="88" spans="1:7">
      <c r="A88" s="13">
        <v>46309</v>
      </c>
      <c r="B88">
        <f>SUMIFS('02_AGENDA'!$W$4:$W$500,'02_AGENDA'!$B$4:$B$500,$A88,'02_AGENDA'!$Z$4:$Z$500,"Sí")</f>
        <v>0</v>
      </c>
      <c r="C88">
        <f>SUMIFS('02_AGENDA'!$X$4:$X$500,'02_AGENDA'!$B$4:$B$500,$A88,'02_AGENDA'!$Z$4:$Z$500,"Sí")</f>
        <v>0</v>
      </c>
      <c r="E88">
        <f>SUMIFS('02_AGENDA'!$W$4:$W$500,'02_AGENDA'!$B$4:$B$500,$A88,'02_AGENDA'!$E$4:$E$500,"Reunión")</f>
        <v>0</v>
      </c>
      <c r="F88">
        <f>SUMIFS('02_AGENDA'!$W$4:$W$500,'02_AGENDA'!$B$4:$B$500,$A88)</f>
        <v>0</v>
      </c>
      <c r="G88">
        <f>SUMIFS('02_AGENDA'!$X$4:$X$500,'02_AGENDA'!$B$4:$B$500,$A88,'02_AGENDA'!$M$4:$M$500,"Hecho")</f>
        <v>0</v>
      </c>
    </row>
    <row r="89" spans="1:7">
      <c r="A89" s="13">
        <v>46310</v>
      </c>
      <c r="B89">
        <f>SUMIFS('02_AGENDA'!$W$4:$W$500,'02_AGENDA'!$B$4:$B$500,$A89,'02_AGENDA'!$Z$4:$Z$500,"Sí")</f>
        <v>0</v>
      </c>
      <c r="C89">
        <f>SUMIFS('02_AGENDA'!$X$4:$X$500,'02_AGENDA'!$B$4:$B$500,$A89,'02_AGENDA'!$Z$4:$Z$500,"Sí")</f>
        <v>0</v>
      </c>
      <c r="E89">
        <f>SUMIFS('02_AGENDA'!$W$4:$W$500,'02_AGENDA'!$B$4:$B$500,$A89,'02_AGENDA'!$E$4:$E$500,"Reunión")</f>
        <v>0</v>
      </c>
      <c r="F89">
        <f>SUMIFS('02_AGENDA'!$W$4:$W$500,'02_AGENDA'!$B$4:$B$500,$A89)</f>
        <v>0</v>
      </c>
      <c r="G89">
        <f>SUMIFS('02_AGENDA'!$X$4:$X$500,'02_AGENDA'!$B$4:$B$500,$A89,'02_AGENDA'!$M$4:$M$500,"Hecho")</f>
        <v>0</v>
      </c>
    </row>
    <row r="90" spans="1:7">
      <c r="A90" s="13">
        <v>46311</v>
      </c>
      <c r="B90">
        <f>SUMIFS('02_AGENDA'!$W$4:$W$500,'02_AGENDA'!$B$4:$B$500,$A90,'02_AGENDA'!$Z$4:$Z$500,"Sí")</f>
        <v>0</v>
      </c>
      <c r="C90">
        <f>SUMIFS('02_AGENDA'!$X$4:$X$500,'02_AGENDA'!$B$4:$B$500,$A90,'02_AGENDA'!$Z$4:$Z$500,"Sí")</f>
        <v>0</v>
      </c>
      <c r="E90">
        <f>SUMIFS('02_AGENDA'!$W$4:$W$500,'02_AGENDA'!$B$4:$B$500,$A90,'02_AGENDA'!$E$4:$E$500,"Reunión")</f>
        <v>0</v>
      </c>
      <c r="F90">
        <f>SUMIFS('02_AGENDA'!$W$4:$W$500,'02_AGENDA'!$B$4:$B$500,$A90)</f>
        <v>0</v>
      </c>
      <c r="G90">
        <f>SUMIFS('02_AGENDA'!$X$4:$X$500,'02_AGENDA'!$B$4:$B$500,$A90,'02_AGENDA'!$M$4:$M$500,"Hecho")</f>
        <v>0</v>
      </c>
    </row>
    <row r="91" spans="1:7">
      <c r="A91" s="13">
        <v>46312</v>
      </c>
      <c r="B91">
        <f>SUMIFS('02_AGENDA'!$W$4:$W$500,'02_AGENDA'!$B$4:$B$500,$A91,'02_AGENDA'!$Z$4:$Z$500,"Sí")</f>
        <v>0</v>
      </c>
      <c r="C91">
        <f>SUMIFS('02_AGENDA'!$X$4:$X$500,'02_AGENDA'!$B$4:$B$500,$A91,'02_AGENDA'!$Z$4:$Z$500,"Sí")</f>
        <v>0</v>
      </c>
      <c r="E91">
        <f>SUMIFS('02_AGENDA'!$W$4:$W$500,'02_AGENDA'!$B$4:$B$500,$A91,'02_AGENDA'!$E$4:$E$500,"Reunión")</f>
        <v>0</v>
      </c>
      <c r="F91">
        <f>SUMIFS('02_AGENDA'!$W$4:$W$500,'02_AGENDA'!$B$4:$B$500,$A91)</f>
        <v>0</v>
      </c>
      <c r="G91">
        <f>SUMIFS('02_AGENDA'!$X$4:$X$500,'02_AGENDA'!$B$4:$B$500,$A91,'02_AGENDA'!$M$4:$M$500,"Hecho")</f>
        <v>0</v>
      </c>
    </row>
    <row r="92" spans="1:7">
      <c r="A92" s="13">
        <v>46313</v>
      </c>
      <c r="B92">
        <f>SUMIFS('02_AGENDA'!$W$4:$W$500,'02_AGENDA'!$B$4:$B$500,$A92,'02_AGENDA'!$Z$4:$Z$500,"Sí")</f>
        <v>0</v>
      </c>
      <c r="C92">
        <f>SUMIFS('02_AGENDA'!$X$4:$X$500,'02_AGENDA'!$B$4:$B$500,$A92,'02_AGENDA'!$Z$4:$Z$500,"Sí")</f>
        <v>0</v>
      </c>
      <c r="E92">
        <f>SUMIFS('02_AGENDA'!$W$4:$W$500,'02_AGENDA'!$B$4:$B$500,$A92,'02_AGENDA'!$E$4:$E$500,"Reunión")</f>
        <v>0</v>
      </c>
      <c r="F92">
        <f>SUMIFS('02_AGENDA'!$W$4:$W$500,'02_AGENDA'!$B$4:$B$500,$A92)</f>
        <v>0</v>
      </c>
      <c r="G92">
        <f>SUMIFS('02_AGENDA'!$X$4:$X$500,'02_AGENDA'!$B$4:$B$500,$A92,'02_AGENDA'!$M$4:$M$500,"Hecho")</f>
        <v>0</v>
      </c>
    </row>
    <row r="93" spans="1:7">
      <c r="A93" s="13">
        <v>46314</v>
      </c>
      <c r="B93">
        <f>SUMIFS('02_AGENDA'!$W$4:$W$500,'02_AGENDA'!$B$4:$B$500,$A93,'02_AGENDA'!$Z$4:$Z$500,"Sí")</f>
        <v>0</v>
      </c>
      <c r="C93">
        <f>SUMIFS('02_AGENDA'!$X$4:$X$500,'02_AGENDA'!$B$4:$B$500,$A93,'02_AGENDA'!$Z$4:$Z$500,"Sí")</f>
        <v>0</v>
      </c>
      <c r="E93">
        <f>SUMIFS('02_AGENDA'!$W$4:$W$500,'02_AGENDA'!$B$4:$B$500,$A93,'02_AGENDA'!$E$4:$E$500,"Reunión")</f>
        <v>0</v>
      </c>
      <c r="F93">
        <f>SUMIFS('02_AGENDA'!$W$4:$W$500,'02_AGENDA'!$B$4:$B$500,$A93)</f>
        <v>0</v>
      </c>
      <c r="G93">
        <f>SUMIFS('02_AGENDA'!$X$4:$X$500,'02_AGENDA'!$B$4:$B$500,$A93,'02_AGENDA'!$M$4:$M$500,"Hecho")</f>
        <v>0</v>
      </c>
    </row>
    <row r="94" spans="1:7">
      <c r="A94" s="13">
        <v>46315</v>
      </c>
      <c r="B94">
        <f>SUMIFS('02_AGENDA'!$W$4:$W$500,'02_AGENDA'!$B$4:$B$500,$A94,'02_AGENDA'!$Z$4:$Z$500,"Sí")</f>
        <v>0</v>
      </c>
      <c r="C94">
        <f>SUMIFS('02_AGENDA'!$X$4:$X$500,'02_AGENDA'!$B$4:$B$500,$A94,'02_AGENDA'!$Z$4:$Z$500,"Sí")</f>
        <v>0</v>
      </c>
      <c r="E94">
        <f>SUMIFS('02_AGENDA'!$W$4:$W$500,'02_AGENDA'!$B$4:$B$500,$A94,'02_AGENDA'!$E$4:$E$500,"Reunión")</f>
        <v>0</v>
      </c>
      <c r="F94">
        <f>SUMIFS('02_AGENDA'!$W$4:$W$500,'02_AGENDA'!$B$4:$B$500,$A94)</f>
        <v>0</v>
      </c>
      <c r="G94">
        <f>SUMIFS('02_AGENDA'!$X$4:$X$500,'02_AGENDA'!$B$4:$B$500,$A94,'02_AGENDA'!$M$4:$M$500,"Hecho")</f>
        <v>0</v>
      </c>
    </row>
  </sheetData>
  <mergeCells count="1">
    <mergeCell ref="A1:N1"/>
  </mergeCells>
  <conditionalFormatting sqref="C4:C94">
    <cfRule type="dataBar" priority="1">
      <dataBar>
        <cfvo type="min"/>
        <cfvo type="max"/>
        <color rgb="FF70AD47"/>
      </dataBar>
    </cfRule>
    <cfRule type="dataBar" priority="2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{EFCFF3F1-34BF-4970-691B-DAC35A403051}</x14:id>
        </ext>
      </extLst>
    </cfRule>
  </conditionalFormatting>
  <dataValidations count="2">
    <dataValidation type="list" sqref="H4:J200" xr:uid="{00000000-0002-0000-0600-000000000000}">
      <formula1>"Sí,No"</formula1>
    </dataValidation>
    <dataValidation type="list" sqref="K4:L200" xr:uid="{00000000-0002-0000-0600-000003000000}">
      <formula1>"1,2,3,4,5"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FCFF3F1-34BF-4970-691B-DAC35A403051}">
            <x14:dataBar>
              <x14:cfvo type="min"/>
              <x14:cfvo type="max"/>
              <x14:negativeFillColor auto="1"/>
              <x14:axisColor auto="1"/>
            </x14:dataBar>
          </x14:cfRule>
          <xm:sqref>C4:C94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1"/>
  <sheetViews>
    <sheetView workbookViewId="0"/>
  </sheetViews>
  <sheetFormatPr baseColWidth="10" defaultColWidth="8.796875" defaultRowHeight="13.8"/>
  <cols>
    <col min="1" max="1" width="28" customWidth="1"/>
    <col min="2" max="2" width="18" customWidth="1"/>
    <col min="3" max="3" width="16" customWidth="1"/>
    <col min="4" max="4" width="14" customWidth="1"/>
    <col min="5" max="5" width="44" customWidth="1"/>
    <col min="6" max="6" width="4" customWidth="1"/>
    <col min="7" max="10" width="18" customWidth="1"/>
  </cols>
  <sheetData>
    <row r="1" spans="1:10" ht="22.35" customHeight="1">
      <c r="A1" s="26" t="s">
        <v>246</v>
      </c>
      <c r="B1" s="27"/>
      <c r="C1" s="27"/>
      <c r="D1" s="27"/>
      <c r="E1" s="27"/>
      <c r="F1" s="27"/>
      <c r="G1" s="27"/>
      <c r="H1" s="27"/>
      <c r="I1" s="27"/>
      <c r="J1" s="27"/>
    </row>
    <row r="3" spans="1:10">
      <c r="A3" s="33" t="s">
        <v>247</v>
      </c>
      <c r="B3" s="27"/>
      <c r="C3" s="27"/>
      <c r="D3" s="27"/>
      <c r="E3" s="27"/>
    </row>
    <row r="4" spans="1:10">
      <c r="A4" s="4" t="s">
        <v>248</v>
      </c>
      <c r="B4" s="5" t="s">
        <v>249</v>
      </c>
      <c r="C4" s="5" t="s">
        <v>250</v>
      </c>
      <c r="D4" s="5" t="s">
        <v>91</v>
      </c>
      <c r="E4" s="6" t="s">
        <v>251</v>
      </c>
    </row>
    <row r="5" spans="1:10">
      <c r="A5" s="7" t="s">
        <v>252</v>
      </c>
      <c r="B5" s="13">
        <f ca="1">TODAY()-WEEKDAY(TODAY(),2)+1</f>
        <v>46265</v>
      </c>
      <c r="E5" s="8"/>
    </row>
    <row r="6" spans="1:10">
      <c r="A6" s="7" t="s">
        <v>253</v>
      </c>
      <c r="B6" s="13">
        <f ca="1">B5+6</f>
        <v>46271</v>
      </c>
      <c r="E6" s="8"/>
    </row>
    <row r="7" spans="1:10">
      <c r="A7" s="7" t="s">
        <v>254</v>
      </c>
      <c r="B7" s="15">
        <f ca="1">IFERROR(COUNTIFS('02_AGENDA'!$B$4:$B$500,"&gt;="&amp;$B$5,'02_AGENDA'!$B$4:$B$500,"&lt;="&amp;$B$6,'02_AGENDA'!$M$4:$M$500,"Hecho")/COUNTIFS('02_AGENDA'!$B$4:$B$500,"&gt;="&amp;$B$5,'02_AGENDA'!$B$4:$B$500,"&lt;="&amp;$B$6,'02_AGENDA'!$A$4:$A$500,"&lt;&gt;"),0)</f>
        <v>0</v>
      </c>
      <c r="C7">
        <v>0.85</v>
      </c>
      <c r="D7" t="str">
        <f ca="1">IF(B7&gt;=C7,"OK","MEJORAR")</f>
        <v>MEJORAR</v>
      </c>
      <c r="E7" s="8" t="s">
        <v>255</v>
      </c>
    </row>
    <row r="8" spans="1:10">
      <c r="A8" s="7" t="s">
        <v>256</v>
      </c>
      <c r="B8">
        <f ca="1">SUMIFS('02_AGENDA'!$X$4:$X$500,'02_AGENDA'!$B$4:$B$500,"&gt;="&amp;$B$5,'02_AGENDA'!$B$4:$B$500,"&lt;="&amp;$B$6,'02_AGENDA'!$Z$4:$Z$500,"Sí")</f>
        <v>0</v>
      </c>
      <c r="C8">
        <v>600</v>
      </c>
      <c r="D8" t="str">
        <f ca="1">IF(B8&gt;=C8,"OK","MEJORAR")</f>
        <v>MEJORAR</v>
      </c>
      <c r="E8" s="8" t="s">
        <v>257</v>
      </c>
    </row>
    <row r="9" spans="1:10">
      <c r="A9" s="7" t="s">
        <v>258</v>
      </c>
      <c r="B9">
        <f ca="1">COUNTIFS('02_AGENDA'!$U$4:$U$500,"&lt;"&amp;TODAY(),'02_AGENDA'!$M$4:$M$500,"&lt;&gt;Hecho",'02_AGENDA'!$M$4:$M$500,"&lt;&gt;Cancelada",'02_AGENDA'!$A$4:$A$500,"&lt;&gt;")</f>
        <v>3</v>
      </c>
      <c r="C9">
        <v>2</v>
      </c>
      <c r="D9" t="str">
        <f ca="1">IF(B9&lt;=C9,"OK","MEJORAR")</f>
        <v>MEJORAR</v>
      </c>
      <c r="E9" s="8" t="s">
        <v>259</v>
      </c>
    </row>
    <row r="10" spans="1:10">
      <c r="A10" s="7" t="s">
        <v>260</v>
      </c>
      <c r="B10">
        <f ca="1">SUMIFS('02_AGENDA'!$W$4:$W$500,'02_AGENDA'!$B$4:$B$500,"&gt;="&amp;$B$5,'02_AGENDA'!$B$4:$B$500,"&lt;="&amp;$B$6,'02_AGENDA'!$E$4:$E$500,"Reunión")</f>
        <v>0</v>
      </c>
      <c r="C10">
        <v>480</v>
      </c>
      <c r="D10" t="str">
        <f ca="1">IF(B10&lt;=C10,"OK","REVISAR")</f>
        <v>OK</v>
      </c>
      <c r="E10" s="8" t="s">
        <v>261</v>
      </c>
    </row>
    <row r="11" spans="1:10">
      <c r="A11" s="9" t="s">
        <v>262</v>
      </c>
      <c r="B11" s="16">
        <f>IFERROR(AVERAGE('05_OKR'!$J$4:$J$300),0)</f>
        <v>0.61176470588235299</v>
      </c>
      <c r="C11" s="16">
        <v>0.7</v>
      </c>
      <c r="D11" s="10" t="str">
        <f>IF(B11&gt;=C11,"OK","MEJORAR")</f>
        <v>MEJORAR</v>
      </c>
      <c r="E11" s="11" t="s">
        <v>263</v>
      </c>
    </row>
    <row r="14" spans="1:10">
      <c r="A14" s="33" t="s">
        <v>264</v>
      </c>
      <c r="B14" s="27"/>
      <c r="C14" s="27"/>
      <c r="D14" s="27"/>
      <c r="E14" s="27"/>
    </row>
    <row r="15" spans="1:10">
      <c r="A15" s="4" t="s">
        <v>248</v>
      </c>
      <c r="B15" s="5" t="s">
        <v>249</v>
      </c>
      <c r="C15" s="5" t="s">
        <v>214</v>
      </c>
      <c r="D15" s="5" t="s">
        <v>91</v>
      </c>
      <c r="E15" s="6" t="s">
        <v>251</v>
      </c>
    </row>
    <row r="16" spans="1:10">
      <c r="A16" s="7" t="s">
        <v>265</v>
      </c>
      <c r="B16" s="13">
        <f ca="1">EOMONTH(TODAY(),-1)+1</f>
        <v>46266</v>
      </c>
      <c r="E16" s="8"/>
    </row>
    <row r="17" spans="1:5">
      <c r="A17" s="7" t="s">
        <v>266</v>
      </c>
      <c r="B17" s="13">
        <f ca="1">EOMONTH(TODAY(),0)</f>
        <v>46295</v>
      </c>
      <c r="E17" s="8"/>
    </row>
    <row r="18" spans="1:5">
      <c r="A18" s="7" t="s">
        <v>267</v>
      </c>
      <c r="B18" s="15">
        <f ca="1">IFERROR(COUNTIFS('02_AGENDA'!$B$4:$B$500,"&gt;="&amp;$B$16,'02_AGENDA'!$B$4:$B$500,"&lt;="&amp;$B$17,'02_AGENDA'!$M$4:$M$500,"Hecho")/COUNTIFS('02_AGENDA'!$B$4:$B$500,"&gt;="&amp;$B$16,'02_AGENDA'!$B$4:$B$500,"&lt;="&amp;$B$17,'02_AGENDA'!$A$4:$A$500,"&lt;&gt;"),0)</f>
        <v>0</v>
      </c>
      <c r="C18">
        <v>0.85</v>
      </c>
      <c r="D18" t="str">
        <f ca="1">IF(B18&gt;=C18,"OK","MEJORAR")</f>
        <v>MEJORAR</v>
      </c>
      <c r="E18" s="8" t="s">
        <v>268</v>
      </c>
    </row>
    <row r="19" spans="1:5">
      <c r="A19" s="7" t="s">
        <v>256</v>
      </c>
      <c r="B19">
        <f ca="1">SUMIFS('02_AGENDA'!$X$4:$X$500,'02_AGENDA'!$B$4:$B$500,"&gt;="&amp;$B$16,'02_AGENDA'!$B$4:$B$500,"&lt;="&amp;$B$17,'02_AGENDA'!$Z$4:$Z$500,"Sí")</f>
        <v>0</v>
      </c>
      <c r="C19">
        <v>2400</v>
      </c>
      <c r="D19" t="str">
        <f ca="1">IF(B19&gt;=C19,"OK","MEJORAR")</f>
        <v>MEJORAR</v>
      </c>
      <c r="E19" s="8" t="s">
        <v>269</v>
      </c>
    </row>
    <row r="20" spans="1:5">
      <c r="A20" s="7" t="s">
        <v>270</v>
      </c>
      <c r="B20">
        <f>IFERROR(AVERAGE('04_REUNIONES'!$Q$4:$Q$200),0)</f>
        <v>0</v>
      </c>
      <c r="C20">
        <v>4</v>
      </c>
      <c r="D20" t="str">
        <f>IF(B20&gt;=C20,"OK","MEJORAR")</f>
        <v>MEJORAR</v>
      </c>
      <c r="E20" s="8" t="s">
        <v>271</v>
      </c>
    </row>
    <row r="21" spans="1:5">
      <c r="A21" s="9" t="s">
        <v>272</v>
      </c>
      <c r="B21" s="16">
        <f>IFERROR(AVERAGE('05_OKR'!$J$4:$J$300),0)</f>
        <v>0.61176470588235299</v>
      </c>
      <c r="C21" s="16">
        <v>0.7</v>
      </c>
      <c r="D21" s="10" t="str">
        <f>IF(B21&gt;=C21,"OK","MEJORAR")</f>
        <v>MEJORAR</v>
      </c>
      <c r="E21" s="11" t="s">
        <v>273</v>
      </c>
    </row>
  </sheetData>
  <mergeCells count="3">
    <mergeCell ref="A1:J1"/>
    <mergeCell ref="A3:E3"/>
    <mergeCell ref="A14:E14"/>
  </mergeCells>
  <conditionalFormatting sqref="D7:D11">
    <cfRule type="expression" dxfId="1" priority="1">
      <formula>D7="OK"</formula>
    </cfRule>
    <cfRule type="expression" dxfId="0" priority="2">
      <formula>D7&lt;&gt;"OK"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27"/>
  <sheetViews>
    <sheetView workbookViewId="0"/>
  </sheetViews>
  <sheetFormatPr baseColWidth="10" defaultColWidth="8.796875" defaultRowHeight="13.8"/>
  <cols>
    <col min="1" max="1" width="16" customWidth="1"/>
    <col min="2" max="3" width="14" customWidth="1"/>
    <col min="4" max="4" width="15" customWidth="1"/>
    <col min="5" max="5" width="14" customWidth="1"/>
    <col min="6" max="6" width="16" customWidth="1"/>
    <col min="7" max="7" width="4" customWidth="1"/>
    <col min="8" max="14" width="16" customWidth="1"/>
  </cols>
  <sheetData>
    <row r="1" spans="1:14" ht="22.35" customHeight="1">
      <c r="A1" s="26" t="s">
        <v>274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</row>
    <row r="3" spans="1:14">
      <c r="A3" s="29" t="s">
        <v>275</v>
      </c>
      <c r="B3" s="27"/>
      <c r="C3" s="27"/>
      <c r="D3" s="29" t="s">
        <v>3</v>
      </c>
      <c r="E3" s="27"/>
      <c r="F3" s="27"/>
      <c r="G3" s="29" t="s">
        <v>4</v>
      </c>
      <c r="H3" s="27"/>
      <c r="I3" s="27"/>
      <c r="J3" s="29" t="s">
        <v>276</v>
      </c>
      <c r="K3" s="27"/>
      <c r="L3" s="27"/>
      <c r="M3" s="29" t="s">
        <v>277</v>
      </c>
      <c r="N3" s="27"/>
    </row>
    <row r="4" spans="1:14">
      <c r="A4" s="34">
        <f ca="1">ROUND(MIN(1,$D$4/'12_CONFIG'!$B$4)*'12_CONFIG'!$C$4*100+MIN(1,$G$4/'12_CONFIG'!$B$5)*'12_CONFIG'!$C$5*100+MIN(1,MAX(0,1-$J$4/MAX(1,'12_CONFIG'!$B$6)))*'12_CONFIG'!$C$6*100+MIN(1,$M$4/'12_CONFIG'!$B$7)*'12_CONFIG'!$C$7*100+MIN(1,$A$9/'12_CONFIG'!$B$8)*'12_CONFIG'!$C$8*100+MIN(1,$C$9/'12_CONFIG'!$B$9)*'12_CONFIG'!$C$9*100+MIN(1,$E$9/'12_CONFIG'!$B$10)*'12_CONFIG'!$C$10*100,1)</f>
        <v>13.1</v>
      </c>
      <c r="B4" s="27"/>
      <c r="C4" s="27"/>
      <c r="D4" s="31">
        <f ca="1">IFERROR(COUNTIFS('02_AGENDA'!$B$4:$B$500,TODAY(),'02_AGENDA'!$M$4:$M$500,"Hecho")/COUNTIFS('02_AGENDA'!$B$4:$B$500,TODAY(),'02_AGENDA'!$A$4:$A$500,"&lt;&gt;"),0)</f>
        <v>0</v>
      </c>
      <c r="E4" s="27"/>
      <c r="F4" s="27"/>
      <c r="G4" s="32">
        <f ca="1">SUMIFS('02_AGENDA'!$X$4:$X$500,'02_AGENDA'!$B$4:$B$500,TODAY(),'02_AGENDA'!$Z$4:$Z$500,"Sí")</f>
        <v>0</v>
      </c>
      <c r="H4" s="27"/>
      <c r="I4" s="27"/>
      <c r="J4" s="32">
        <f ca="1">COUNTIFS('02_AGENDA'!$U$4:$U$500,"&lt;"&amp;TODAY(),'02_AGENDA'!$M$4:$M$500,"&lt;&gt;Hecho",'02_AGENDA'!$M$4:$M$500,"&lt;&gt;Cancelada",'02_AGENDA'!$A$4:$A$500,"&lt;&gt;")</f>
        <v>3</v>
      </c>
      <c r="K4" s="27"/>
      <c r="L4" s="27"/>
      <c r="M4" s="30">
        <f>IFERROR(AVERAGE('04_REUNIONES'!$Q$4:$Q$200),0)</f>
        <v>0</v>
      </c>
      <c r="N4" s="27"/>
    </row>
    <row r="5" spans="1:14">
      <c r="A5" s="27"/>
      <c r="B5" s="27"/>
      <c r="C5" s="27"/>
      <c r="D5" s="27"/>
      <c r="E5" s="31"/>
      <c r="F5" s="27"/>
      <c r="G5" s="27"/>
      <c r="H5" s="32"/>
      <c r="I5" s="27"/>
      <c r="J5" s="27"/>
      <c r="K5" s="32"/>
      <c r="L5" s="27"/>
      <c r="M5" s="27"/>
      <c r="N5" s="30"/>
    </row>
    <row r="6" spans="1:14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</row>
    <row r="8" spans="1:14">
      <c r="A8" s="35" t="s">
        <v>278</v>
      </c>
      <c r="B8" s="36"/>
      <c r="C8" s="36" t="s">
        <v>279</v>
      </c>
      <c r="D8" s="36"/>
      <c r="E8" s="36" t="s">
        <v>241</v>
      </c>
      <c r="F8" s="36"/>
      <c r="G8" s="36" t="s">
        <v>280</v>
      </c>
      <c r="H8" s="37"/>
    </row>
    <row r="9" spans="1:14">
      <c r="A9" s="38">
        <f>IFERROR(AVERAGE('05_OKR'!$J$4:$J$300),0)</f>
        <v>0.61176470588235299</v>
      </c>
      <c r="B9" s="39">
        <f>IFERROR(AVERAGE('05_OKR'!$J$4:$J$300),0)</f>
        <v>0.61176470588235299</v>
      </c>
      <c r="C9" s="38">
        <f ca="1">IFERROR('07_REPORTES'!B7,0)</f>
        <v>0</v>
      </c>
      <c r="D9" s="27"/>
      <c r="E9" s="38">
        <f ca="1">IF(COUNTIFS('06_METRICAS_DIARIAS'!$A$4:$A$94,"&gt;="&amp;'07_REPORTES'!$B$5,'06_METRICAS_DIARIAS'!$A$4:$A$94,"&lt;="&amp;'07_REPORTES'!$B$6,'06_METRICAS_DIARIAS'!$J$4:$J$94,"Sí")&gt;0,1,0)</f>
        <v>0</v>
      </c>
      <c r="F9" s="27"/>
      <c r="G9" s="40">
        <f ca="1">IFERROR(SUMIFS('06_METRICAS_DIARIAS'!$D$4:$D$94,'06_METRICAS_DIARIAS'!$A$4:$A$94,TODAY()),0)</f>
        <v>0</v>
      </c>
      <c r="H9" s="27">
        <f ca="1">IF(COUNTIFS('06_METRICAS_DIARIAS'!$A$4:$A$94,"&gt;="&amp;'07_REPORTES'!$B$5,'06_METRICAS_DIARIAS'!$A$4:$A$94,"&lt;="&amp;'07_REPORTES'!$B$6,'06_METRICAS_DIARIAS'!$J$4:$J$94,"Sí")&gt;0,1,0)</f>
        <v>0</v>
      </c>
    </row>
    <row r="10" spans="1:14">
      <c r="A10" s="27"/>
      <c r="B10" s="27"/>
      <c r="C10" s="27"/>
      <c r="D10" s="27"/>
      <c r="E10" s="27"/>
      <c r="F10" s="27"/>
      <c r="G10" s="27"/>
      <c r="H10" s="27"/>
    </row>
    <row r="12" spans="1:14">
      <c r="A12" s="33" t="s">
        <v>281</v>
      </c>
      <c r="B12" s="27"/>
      <c r="C12" s="27"/>
      <c r="D12" s="27"/>
      <c r="E12" s="27"/>
      <c r="F12" s="27"/>
    </row>
    <row r="13" spans="1:14">
      <c r="A13" s="4" t="s">
        <v>82</v>
      </c>
      <c r="B13" s="5" t="s">
        <v>282</v>
      </c>
      <c r="C13" s="5" t="s">
        <v>283</v>
      </c>
      <c r="D13" s="5" t="s">
        <v>284</v>
      </c>
      <c r="E13" s="5" t="s">
        <v>285</v>
      </c>
      <c r="F13" s="6" t="s">
        <v>286</v>
      </c>
    </row>
    <row r="14" spans="1:14">
      <c r="A14" s="17">
        <v>46242</v>
      </c>
      <c r="B14">
        <f ca="1">IFERROR(_xludf.XLOOKUP(A14,'06_METRICAS_DIARIAS'!$A:$A,'06_METRICAS_DIARIAS'!$C:$C,0),0)</f>
        <v>0</v>
      </c>
      <c r="C14">
        <f ca="1">IFERROR(_xludf.XLOOKUP(A14,'06_METRICAS_DIARIAS'!$A:$A,'06_METRICAS_DIARIAS'!$F:$F,0),0)</f>
        <v>0</v>
      </c>
      <c r="D14">
        <f ca="1">IFERROR(_xludf.XLOOKUP(A14,'06_METRICAS_DIARIAS'!$A:$A,'06_METRICAS_DIARIAS'!$G:$G,0),0)</f>
        <v>0</v>
      </c>
      <c r="E14" s="15">
        <f t="shared" ref="E14:E27" ca="1" si="0">IFERROR(D14/C14,0)</f>
        <v>0</v>
      </c>
      <c r="F14" s="8">
        <f ca="1">IFERROR(_xludf.XLOOKUP(A14,'06_METRICAS_DIARIAS'!$A:$A,'06_METRICAS_DIARIAS'!$D:$D,0),0)</f>
        <v>0</v>
      </c>
    </row>
    <row r="15" spans="1:14">
      <c r="A15" s="17">
        <v>46243</v>
      </c>
      <c r="B15">
        <f ca="1">IFERROR(_xludf.XLOOKUP(A15,'06_METRICAS_DIARIAS'!$A:$A,'06_METRICAS_DIARIAS'!$C:$C,0),0)</f>
        <v>0</v>
      </c>
      <c r="C15">
        <f ca="1">IFERROR(_xludf.XLOOKUP(A15,'06_METRICAS_DIARIAS'!$A:$A,'06_METRICAS_DIARIAS'!$F:$F,0),0)</f>
        <v>0</v>
      </c>
      <c r="D15">
        <f ca="1">IFERROR(_xludf.XLOOKUP(A15,'06_METRICAS_DIARIAS'!$A:$A,'06_METRICAS_DIARIAS'!$G:$G,0),0)</f>
        <v>0</v>
      </c>
      <c r="E15" s="15">
        <f t="shared" ca="1" si="0"/>
        <v>0</v>
      </c>
      <c r="F15" s="8">
        <f ca="1">IFERROR(_xludf.XLOOKUP(A15,'06_METRICAS_DIARIAS'!$A:$A,'06_METRICAS_DIARIAS'!$D:$D,0),0)</f>
        <v>0</v>
      </c>
    </row>
    <row r="16" spans="1:14">
      <c r="A16" s="17">
        <v>46244</v>
      </c>
      <c r="B16">
        <f ca="1">IFERROR(_xludf.XLOOKUP(A16,'06_METRICAS_DIARIAS'!$A:$A,'06_METRICAS_DIARIAS'!$C:$C,0),0)</f>
        <v>0</v>
      </c>
      <c r="C16">
        <f ca="1">IFERROR(_xludf.XLOOKUP(A16,'06_METRICAS_DIARIAS'!$A:$A,'06_METRICAS_DIARIAS'!$F:$F,0),0)</f>
        <v>0</v>
      </c>
      <c r="D16">
        <f ca="1">IFERROR(_xludf.XLOOKUP(A16,'06_METRICAS_DIARIAS'!$A:$A,'06_METRICAS_DIARIAS'!$G:$G,0),0)</f>
        <v>0</v>
      </c>
      <c r="E16" s="15">
        <f t="shared" ca="1" si="0"/>
        <v>0</v>
      </c>
      <c r="F16" s="8">
        <f ca="1">IFERROR(_xludf.XLOOKUP(A16,'06_METRICAS_DIARIAS'!$A:$A,'06_METRICAS_DIARIAS'!$D:$D,0),0)</f>
        <v>0</v>
      </c>
    </row>
    <row r="17" spans="1:6">
      <c r="A17" s="17">
        <v>46245</v>
      </c>
      <c r="B17">
        <f ca="1">IFERROR(_xludf.XLOOKUP(A17,'06_METRICAS_DIARIAS'!$A:$A,'06_METRICAS_DIARIAS'!$C:$C,0),0)</f>
        <v>0</v>
      </c>
      <c r="C17">
        <f ca="1">IFERROR(_xludf.XLOOKUP(A17,'06_METRICAS_DIARIAS'!$A:$A,'06_METRICAS_DIARIAS'!$F:$F,0),0)</f>
        <v>0</v>
      </c>
      <c r="D17">
        <f ca="1">IFERROR(_xludf.XLOOKUP(A17,'06_METRICAS_DIARIAS'!$A:$A,'06_METRICAS_DIARIAS'!$G:$G,0),0)</f>
        <v>0</v>
      </c>
      <c r="E17" s="15">
        <f t="shared" ca="1" si="0"/>
        <v>0</v>
      </c>
      <c r="F17" s="8">
        <f ca="1">IFERROR(_xludf.XLOOKUP(A17,'06_METRICAS_DIARIAS'!$A:$A,'06_METRICAS_DIARIAS'!$D:$D,0),0)</f>
        <v>0</v>
      </c>
    </row>
    <row r="18" spans="1:6">
      <c r="A18" s="17">
        <v>46246</v>
      </c>
      <c r="B18">
        <f ca="1">IFERROR(_xludf.XLOOKUP(A18,'06_METRICAS_DIARIAS'!$A:$A,'06_METRICAS_DIARIAS'!$C:$C,0),0)</f>
        <v>0</v>
      </c>
      <c r="C18">
        <f ca="1">IFERROR(_xludf.XLOOKUP(A18,'06_METRICAS_DIARIAS'!$A:$A,'06_METRICAS_DIARIAS'!$F:$F,0),0)</f>
        <v>0</v>
      </c>
      <c r="D18">
        <f ca="1">IFERROR(_xludf.XLOOKUP(A18,'06_METRICAS_DIARIAS'!$A:$A,'06_METRICAS_DIARIAS'!$G:$G,0),0)</f>
        <v>0</v>
      </c>
      <c r="E18" s="15">
        <f t="shared" ca="1" si="0"/>
        <v>0</v>
      </c>
      <c r="F18" s="8">
        <f ca="1">IFERROR(_xludf.XLOOKUP(A18,'06_METRICAS_DIARIAS'!$A:$A,'06_METRICAS_DIARIAS'!$D:$D,0),0)</f>
        <v>0</v>
      </c>
    </row>
    <row r="19" spans="1:6">
      <c r="A19" s="17">
        <v>46247</v>
      </c>
      <c r="B19">
        <f ca="1">IFERROR(_xludf.XLOOKUP(A19,'06_METRICAS_DIARIAS'!$A:$A,'06_METRICAS_DIARIAS'!$C:$C,0),0)</f>
        <v>0</v>
      </c>
      <c r="C19">
        <f ca="1">IFERROR(_xludf.XLOOKUP(A19,'06_METRICAS_DIARIAS'!$A:$A,'06_METRICAS_DIARIAS'!$F:$F,0),0)</f>
        <v>0</v>
      </c>
      <c r="D19">
        <f ca="1">IFERROR(_xludf.XLOOKUP(A19,'06_METRICAS_DIARIAS'!$A:$A,'06_METRICAS_DIARIAS'!$G:$G,0),0)</f>
        <v>0</v>
      </c>
      <c r="E19" s="15">
        <f t="shared" ca="1" si="0"/>
        <v>0</v>
      </c>
      <c r="F19" s="8">
        <f ca="1">IFERROR(_xludf.XLOOKUP(A19,'06_METRICAS_DIARIAS'!$A:$A,'06_METRICAS_DIARIAS'!$D:$D,0),0)</f>
        <v>0</v>
      </c>
    </row>
    <row r="20" spans="1:6">
      <c r="A20" s="17">
        <v>46248</v>
      </c>
      <c r="B20">
        <f ca="1">IFERROR(_xludf.XLOOKUP(A20,'06_METRICAS_DIARIAS'!$A:$A,'06_METRICAS_DIARIAS'!$C:$C,0),0)</f>
        <v>0</v>
      </c>
      <c r="C20">
        <f ca="1">IFERROR(_xludf.XLOOKUP(A20,'06_METRICAS_DIARIAS'!$A:$A,'06_METRICAS_DIARIAS'!$F:$F,0),0)</f>
        <v>0</v>
      </c>
      <c r="D20">
        <f ca="1">IFERROR(_xludf.XLOOKUP(A20,'06_METRICAS_DIARIAS'!$A:$A,'06_METRICAS_DIARIAS'!$G:$G,0),0)</f>
        <v>0</v>
      </c>
      <c r="E20" s="15">
        <f t="shared" ca="1" si="0"/>
        <v>0</v>
      </c>
      <c r="F20" s="8">
        <f ca="1">IFERROR(_xludf.XLOOKUP(A20,'06_METRICAS_DIARIAS'!$A:$A,'06_METRICAS_DIARIAS'!$D:$D,0),0)</f>
        <v>0</v>
      </c>
    </row>
    <row r="21" spans="1:6">
      <c r="A21" s="17">
        <v>46249</v>
      </c>
      <c r="B21">
        <f ca="1">IFERROR(_xludf.XLOOKUP(A21,'06_METRICAS_DIARIAS'!$A:$A,'06_METRICAS_DIARIAS'!$C:$C,0),0)</f>
        <v>0</v>
      </c>
      <c r="C21">
        <f ca="1">IFERROR(_xludf.XLOOKUP(A21,'06_METRICAS_DIARIAS'!$A:$A,'06_METRICAS_DIARIAS'!$F:$F,0),0)</f>
        <v>0</v>
      </c>
      <c r="D21">
        <f ca="1">IFERROR(_xludf.XLOOKUP(A21,'06_METRICAS_DIARIAS'!$A:$A,'06_METRICAS_DIARIAS'!$G:$G,0),0)</f>
        <v>0</v>
      </c>
      <c r="E21" s="15">
        <f t="shared" ca="1" si="0"/>
        <v>0</v>
      </c>
      <c r="F21" s="8">
        <f ca="1">IFERROR(_xludf.XLOOKUP(A21,'06_METRICAS_DIARIAS'!$A:$A,'06_METRICAS_DIARIAS'!$D:$D,0),0)</f>
        <v>0</v>
      </c>
    </row>
    <row r="22" spans="1:6">
      <c r="A22" s="17">
        <v>46250</v>
      </c>
      <c r="B22">
        <f ca="1">IFERROR(_xludf.XLOOKUP(A22,'06_METRICAS_DIARIAS'!$A:$A,'06_METRICAS_DIARIAS'!$C:$C,0),0)</f>
        <v>0</v>
      </c>
      <c r="C22">
        <f ca="1">IFERROR(_xludf.XLOOKUP(A22,'06_METRICAS_DIARIAS'!$A:$A,'06_METRICAS_DIARIAS'!$F:$F,0),0)</f>
        <v>0</v>
      </c>
      <c r="D22">
        <f ca="1">IFERROR(_xludf.XLOOKUP(A22,'06_METRICAS_DIARIAS'!$A:$A,'06_METRICAS_DIARIAS'!$G:$G,0),0)</f>
        <v>0</v>
      </c>
      <c r="E22" s="15">
        <f t="shared" ca="1" si="0"/>
        <v>0</v>
      </c>
      <c r="F22" s="8">
        <f ca="1">IFERROR(_xludf.XLOOKUP(A22,'06_METRICAS_DIARIAS'!$A:$A,'06_METRICAS_DIARIAS'!$D:$D,0),0)</f>
        <v>0</v>
      </c>
    </row>
    <row r="23" spans="1:6">
      <c r="A23" s="17">
        <v>46251</v>
      </c>
      <c r="B23">
        <f ca="1">IFERROR(_xludf.XLOOKUP(A23,'06_METRICAS_DIARIAS'!$A:$A,'06_METRICAS_DIARIAS'!$C:$C,0),0)</f>
        <v>0</v>
      </c>
      <c r="C23">
        <f ca="1">IFERROR(_xludf.XLOOKUP(A23,'06_METRICAS_DIARIAS'!$A:$A,'06_METRICAS_DIARIAS'!$F:$F,0),0)</f>
        <v>0</v>
      </c>
      <c r="D23">
        <f ca="1">IFERROR(_xludf.XLOOKUP(A23,'06_METRICAS_DIARIAS'!$A:$A,'06_METRICAS_DIARIAS'!$G:$G,0),0)</f>
        <v>0</v>
      </c>
      <c r="E23" s="15">
        <f t="shared" ca="1" si="0"/>
        <v>0</v>
      </c>
      <c r="F23" s="8">
        <f ca="1">IFERROR(_xludf.XLOOKUP(A23,'06_METRICAS_DIARIAS'!$A:$A,'06_METRICAS_DIARIAS'!$D:$D,0),0)</f>
        <v>0</v>
      </c>
    </row>
    <row r="24" spans="1:6">
      <c r="A24" s="17">
        <v>46252</v>
      </c>
      <c r="B24">
        <f ca="1">IFERROR(_xludf.XLOOKUP(A24,'06_METRICAS_DIARIAS'!$A:$A,'06_METRICAS_DIARIAS'!$C:$C,0),0)</f>
        <v>0</v>
      </c>
      <c r="C24">
        <f ca="1">IFERROR(_xludf.XLOOKUP(A24,'06_METRICAS_DIARIAS'!$A:$A,'06_METRICAS_DIARIAS'!$F:$F,0),0)</f>
        <v>0</v>
      </c>
      <c r="D24">
        <f ca="1">IFERROR(_xludf.XLOOKUP(A24,'06_METRICAS_DIARIAS'!$A:$A,'06_METRICAS_DIARIAS'!$G:$G,0),0)</f>
        <v>0</v>
      </c>
      <c r="E24" s="15">
        <f t="shared" ca="1" si="0"/>
        <v>0</v>
      </c>
      <c r="F24" s="8">
        <f ca="1">IFERROR(_xludf.XLOOKUP(A24,'06_METRICAS_DIARIAS'!$A:$A,'06_METRICAS_DIARIAS'!$D:$D,0),0)</f>
        <v>0</v>
      </c>
    </row>
    <row r="25" spans="1:6">
      <c r="A25" s="17">
        <v>46253</v>
      </c>
      <c r="B25">
        <f ca="1">IFERROR(_xludf.XLOOKUP(A25,'06_METRICAS_DIARIAS'!$A:$A,'06_METRICAS_DIARIAS'!$C:$C,0),0)</f>
        <v>0</v>
      </c>
      <c r="C25">
        <f ca="1">IFERROR(_xludf.XLOOKUP(A25,'06_METRICAS_DIARIAS'!$A:$A,'06_METRICAS_DIARIAS'!$F:$F,0),0)</f>
        <v>0</v>
      </c>
      <c r="D25">
        <f ca="1">IFERROR(_xludf.XLOOKUP(A25,'06_METRICAS_DIARIAS'!$A:$A,'06_METRICAS_DIARIAS'!$G:$G,0),0)</f>
        <v>0</v>
      </c>
      <c r="E25" s="15">
        <f t="shared" ca="1" si="0"/>
        <v>0</v>
      </c>
      <c r="F25" s="8">
        <f ca="1">IFERROR(_xludf.XLOOKUP(A25,'06_METRICAS_DIARIAS'!$A:$A,'06_METRICAS_DIARIAS'!$D:$D,0),0)</f>
        <v>0</v>
      </c>
    </row>
    <row r="26" spans="1:6">
      <c r="A26" s="17">
        <v>46254</v>
      </c>
      <c r="B26">
        <f ca="1">IFERROR(_xludf.XLOOKUP(A26,'06_METRICAS_DIARIAS'!$A:$A,'06_METRICAS_DIARIAS'!$C:$C,0),0)</f>
        <v>0</v>
      </c>
      <c r="C26">
        <f ca="1">IFERROR(_xludf.XLOOKUP(A26,'06_METRICAS_DIARIAS'!$A:$A,'06_METRICAS_DIARIAS'!$F:$F,0),0)</f>
        <v>0</v>
      </c>
      <c r="D26">
        <f ca="1">IFERROR(_xludf.XLOOKUP(A26,'06_METRICAS_DIARIAS'!$A:$A,'06_METRICAS_DIARIAS'!$G:$G,0),0)</f>
        <v>0</v>
      </c>
      <c r="E26" s="15">
        <f t="shared" ca="1" si="0"/>
        <v>0</v>
      </c>
      <c r="F26" s="8">
        <f ca="1">IFERROR(_xludf.XLOOKUP(A26,'06_METRICAS_DIARIAS'!$A:$A,'06_METRICAS_DIARIAS'!$D:$D,0),0)</f>
        <v>0</v>
      </c>
    </row>
    <row r="27" spans="1:6">
      <c r="A27" s="18">
        <v>46255</v>
      </c>
      <c r="B27" s="10">
        <f ca="1">IFERROR(_xludf.XLOOKUP(A27,'06_METRICAS_DIARIAS'!$A:$A,'06_METRICAS_DIARIAS'!$C:$C,0),0)</f>
        <v>0</v>
      </c>
      <c r="C27" s="10">
        <f ca="1">IFERROR(_xludf.XLOOKUP(A27,'06_METRICAS_DIARIAS'!$A:$A,'06_METRICAS_DIARIAS'!$F:$F,0),0)</f>
        <v>0</v>
      </c>
      <c r="D27" s="10">
        <f ca="1">IFERROR(_xludf.XLOOKUP(A27,'06_METRICAS_DIARIAS'!$A:$A,'06_METRICAS_DIARIAS'!$G:$G,0),0)</f>
        <v>0</v>
      </c>
      <c r="E27" s="16">
        <f t="shared" ca="1" si="0"/>
        <v>0</v>
      </c>
      <c r="F27" s="11">
        <f ca="1">IFERROR(_xludf.XLOOKUP(A27,'06_METRICAS_DIARIAS'!$A:$A,'06_METRICAS_DIARIAS'!$D:$D,0),0)</f>
        <v>0</v>
      </c>
    </row>
  </sheetData>
  <mergeCells count="20">
    <mergeCell ref="A12:F12"/>
    <mergeCell ref="A8:B8"/>
    <mergeCell ref="C8:D8"/>
    <mergeCell ref="E8:F8"/>
    <mergeCell ref="G8:H8"/>
    <mergeCell ref="A9:B10"/>
    <mergeCell ref="C9:D10"/>
    <mergeCell ref="E9:F10"/>
    <mergeCell ref="G9:H10"/>
    <mergeCell ref="A1:N1"/>
    <mergeCell ref="A3:C3"/>
    <mergeCell ref="A4:C6"/>
    <mergeCell ref="D3:F3"/>
    <mergeCell ref="D4:F6"/>
    <mergeCell ref="G3:I3"/>
    <mergeCell ref="G4:I6"/>
    <mergeCell ref="J3:L3"/>
    <mergeCell ref="J4:L6"/>
    <mergeCell ref="M3:N3"/>
    <mergeCell ref="M4:N6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30"/>
  <sheetViews>
    <sheetView workbookViewId="0"/>
  </sheetViews>
  <sheetFormatPr baseColWidth="10" defaultColWidth="8.796875" defaultRowHeight="13.8"/>
  <cols>
    <col min="1" max="1" width="20" customWidth="1"/>
    <col min="2" max="2" width="48" customWidth="1"/>
    <col min="3" max="3" width="38" customWidth="1"/>
    <col min="4" max="4" width="30" customWidth="1"/>
    <col min="5" max="10" width="18" customWidth="1"/>
  </cols>
  <sheetData>
    <row r="1" spans="1:10" ht="22.35" customHeight="1">
      <c r="A1" s="26" t="s">
        <v>287</v>
      </c>
      <c r="B1" s="27"/>
      <c r="C1" s="27"/>
      <c r="D1" s="27"/>
      <c r="E1" s="27"/>
      <c r="F1" s="27"/>
      <c r="G1" s="27"/>
      <c r="H1" s="27"/>
      <c r="I1" s="27"/>
      <c r="J1" s="27"/>
    </row>
    <row r="3" spans="1:10">
      <c r="A3" s="28" t="s">
        <v>288</v>
      </c>
      <c r="B3" s="28"/>
      <c r="C3" s="28"/>
      <c r="D3" s="28"/>
      <c r="E3" s="28"/>
      <c r="F3" s="28"/>
      <c r="G3" s="28"/>
      <c r="H3" s="28"/>
      <c r="I3" s="28"/>
      <c r="J3" s="28"/>
    </row>
    <row r="4" spans="1:10">
      <c r="A4" s="28"/>
      <c r="B4" s="28"/>
      <c r="C4" s="28"/>
      <c r="D4" s="28"/>
      <c r="E4" s="28"/>
      <c r="F4" s="28"/>
      <c r="G4" s="28"/>
      <c r="H4" s="28"/>
      <c r="I4" s="28"/>
      <c r="J4" s="28"/>
    </row>
    <row r="6" spans="1:10">
      <c r="A6" s="33" t="s">
        <v>289</v>
      </c>
      <c r="B6" s="27"/>
      <c r="C6" s="27"/>
      <c r="D6" s="27"/>
      <c r="E6" s="27"/>
      <c r="F6" s="27"/>
      <c r="G6" s="27"/>
      <c r="H6" s="27"/>
      <c r="I6" s="27"/>
      <c r="J6" s="27"/>
    </row>
    <row r="7" spans="1:10">
      <c r="A7" s="4" t="s">
        <v>7</v>
      </c>
      <c r="B7" s="5" t="s">
        <v>290</v>
      </c>
      <c r="C7" s="5" t="s">
        <v>291</v>
      </c>
      <c r="D7" s="6" t="s">
        <v>248</v>
      </c>
    </row>
    <row r="8" spans="1:10">
      <c r="A8" s="7" t="s">
        <v>292</v>
      </c>
      <c r="B8" t="s">
        <v>293</v>
      </c>
      <c r="C8" t="s">
        <v>294</v>
      </c>
      <c r="D8" s="8" t="s">
        <v>240</v>
      </c>
    </row>
    <row r="9" spans="1:10">
      <c r="A9" s="7" t="s">
        <v>295</v>
      </c>
      <c r="B9" t="s">
        <v>296</v>
      </c>
      <c r="C9" t="s">
        <v>297</v>
      </c>
      <c r="D9" s="8" t="s">
        <v>298</v>
      </c>
    </row>
    <row r="10" spans="1:10">
      <c r="A10" s="7" t="s">
        <v>299</v>
      </c>
      <c r="B10" t="s">
        <v>300</v>
      </c>
      <c r="C10" t="s">
        <v>301</v>
      </c>
      <c r="D10" s="8" t="s">
        <v>302</v>
      </c>
    </row>
    <row r="11" spans="1:10">
      <c r="A11" s="7" t="s">
        <v>303</v>
      </c>
      <c r="B11" t="s">
        <v>304</v>
      </c>
      <c r="C11" t="s">
        <v>305</v>
      </c>
      <c r="D11" s="8" t="s">
        <v>306</v>
      </c>
    </row>
    <row r="12" spans="1:10">
      <c r="A12" s="7" t="s">
        <v>307</v>
      </c>
      <c r="B12" t="s">
        <v>308</v>
      </c>
      <c r="C12" t="s">
        <v>55</v>
      </c>
      <c r="D12" s="8" t="s">
        <v>31</v>
      </c>
    </row>
    <row r="13" spans="1:10">
      <c r="A13" s="9" t="s">
        <v>32</v>
      </c>
      <c r="B13" s="10" t="s">
        <v>309</v>
      </c>
      <c r="C13" s="10" t="s">
        <v>57</v>
      </c>
      <c r="D13" s="11" t="s">
        <v>36</v>
      </c>
    </row>
    <row r="15" spans="1:10">
      <c r="A15" s="33" t="s">
        <v>310</v>
      </c>
      <c r="B15" s="27"/>
      <c r="C15" s="27"/>
      <c r="D15" s="27"/>
      <c r="E15" s="27"/>
      <c r="F15" s="27"/>
      <c r="G15" s="27"/>
      <c r="H15" s="27"/>
      <c r="I15" s="27"/>
      <c r="J15" s="27"/>
    </row>
    <row r="16" spans="1:10">
      <c r="A16" s="4" t="s">
        <v>38</v>
      </c>
      <c r="B16" s="5" t="s">
        <v>311</v>
      </c>
      <c r="C16" s="5" t="s">
        <v>40</v>
      </c>
      <c r="D16" s="6" t="s">
        <v>312</v>
      </c>
    </row>
    <row r="17" spans="1:10">
      <c r="A17" s="7" t="s">
        <v>41</v>
      </c>
      <c r="B17" t="s">
        <v>313</v>
      </c>
      <c r="C17" t="s">
        <v>41</v>
      </c>
      <c r="D17" s="8" t="s">
        <v>314</v>
      </c>
    </row>
    <row r="18" spans="1:10">
      <c r="A18" s="7" t="s">
        <v>315</v>
      </c>
      <c r="B18" t="s">
        <v>316</v>
      </c>
      <c r="C18" t="s">
        <v>317</v>
      </c>
      <c r="D18" s="8" t="s">
        <v>318</v>
      </c>
    </row>
    <row r="19" spans="1:10">
      <c r="A19" s="7" t="s">
        <v>319</v>
      </c>
      <c r="B19" t="s">
        <v>320</v>
      </c>
      <c r="C19" t="s">
        <v>321</v>
      </c>
      <c r="D19" s="8" t="s">
        <v>322</v>
      </c>
    </row>
    <row r="20" spans="1:10">
      <c r="A20" s="7" t="s">
        <v>323</v>
      </c>
      <c r="B20" t="s">
        <v>324</v>
      </c>
      <c r="C20" t="s">
        <v>325</v>
      </c>
      <c r="D20" s="8" t="s">
        <v>326</v>
      </c>
    </row>
    <row r="21" spans="1:10">
      <c r="A21" s="7" t="s">
        <v>327</v>
      </c>
      <c r="B21" t="s">
        <v>328</v>
      </c>
      <c r="C21" t="s">
        <v>329</v>
      </c>
      <c r="D21" s="8" t="s">
        <v>330</v>
      </c>
    </row>
    <row r="22" spans="1:10">
      <c r="A22" s="7" t="s">
        <v>55</v>
      </c>
      <c r="B22" t="s">
        <v>331</v>
      </c>
      <c r="C22" t="s">
        <v>55</v>
      </c>
      <c r="D22" s="8" t="s">
        <v>332</v>
      </c>
    </row>
    <row r="23" spans="1:10">
      <c r="A23" s="9" t="s">
        <v>57</v>
      </c>
      <c r="B23" s="10" t="s">
        <v>333</v>
      </c>
      <c r="C23" s="10" t="s">
        <v>57</v>
      </c>
      <c r="D23" s="11" t="s">
        <v>334</v>
      </c>
    </row>
    <row r="25" spans="1:10">
      <c r="A25" s="33" t="s">
        <v>335</v>
      </c>
      <c r="B25" s="27"/>
      <c r="C25" s="27"/>
      <c r="D25" s="27"/>
      <c r="E25" s="27"/>
      <c r="F25" s="27"/>
      <c r="G25" s="27"/>
      <c r="H25" s="27"/>
      <c r="I25" s="27"/>
      <c r="J25" s="27"/>
    </row>
    <row r="26" spans="1:10">
      <c r="A26" s="4" t="s">
        <v>336</v>
      </c>
      <c r="B26" s="5" t="s">
        <v>337</v>
      </c>
      <c r="C26" s="6" t="s">
        <v>9</v>
      </c>
    </row>
    <row r="27" spans="1:10">
      <c r="A27" s="7" t="s">
        <v>338</v>
      </c>
      <c r="B27" t="s">
        <v>339</v>
      </c>
      <c r="C27" s="8" t="s">
        <v>340</v>
      </c>
    </row>
    <row r="28" spans="1:10">
      <c r="A28" s="7" t="s">
        <v>341</v>
      </c>
      <c r="B28" t="s">
        <v>342</v>
      </c>
      <c r="C28" s="8" t="s">
        <v>72</v>
      </c>
    </row>
    <row r="29" spans="1:10">
      <c r="A29" s="7" t="s">
        <v>343</v>
      </c>
      <c r="B29" t="s">
        <v>344</v>
      </c>
      <c r="C29" s="8" t="s">
        <v>345</v>
      </c>
    </row>
    <row r="30" spans="1:10">
      <c r="A30" s="9" t="s">
        <v>346</v>
      </c>
      <c r="B30" s="10" t="s">
        <v>347</v>
      </c>
      <c r="C30" s="11" t="s">
        <v>348</v>
      </c>
    </row>
  </sheetData>
  <mergeCells count="5">
    <mergeCell ref="A1:J1"/>
    <mergeCell ref="A3:J4"/>
    <mergeCell ref="A6:J6"/>
    <mergeCell ref="A15:J15"/>
    <mergeCell ref="A25:J2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31"/>
  <sheetViews>
    <sheetView workbookViewId="0"/>
  </sheetViews>
  <sheetFormatPr baseColWidth="10" defaultColWidth="8.796875" defaultRowHeight="13.8"/>
  <cols>
    <col min="1" max="1" width="28" customWidth="1"/>
    <col min="2" max="2" width="22" customWidth="1"/>
    <col min="3" max="3" width="17" customWidth="1"/>
    <col min="4" max="4" width="24" customWidth="1"/>
    <col min="5" max="5" width="42" customWidth="1"/>
    <col min="6" max="6" width="34" customWidth="1"/>
    <col min="7" max="10" width="18" customWidth="1"/>
  </cols>
  <sheetData>
    <row r="1" spans="1:10" ht="22.35" customHeight="1">
      <c r="A1" s="26" t="s">
        <v>349</v>
      </c>
      <c r="B1" s="27"/>
      <c r="C1" s="27"/>
      <c r="D1" s="27"/>
      <c r="E1" s="27"/>
      <c r="F1" s="27"/>
      <c r="G1" s="27"/>
      <c r="H1" s="27"/>
      <c r="I1" s="27"/>
      <c r="J1" s="27"/>
    </row>
    <row r="3" spans="1:10">
      <c r="A3" s="33" t="s">
        <v>350</v>
      </c>
      <c r="B3" s="27"/>
      <c r="C3" s="27"/>
      <c r="D3" s="27"/>
      <c r="E3" s="27"/>
    </row>
    <row r="4" spans="1:10">
      <c r="A4" s="4" t="s">
        <v>351</v>
      </c>
      <c r="B4" s="5" t="s">
        <v>249</v>
      </c>
      <c r="C4" s="5" t="s">
        <v>352</v>
      </c>
      <c r="D4" s="5" t="s">
        <v>353</v>
      </c>
      <c r="E4" s="6" t="s">
        <v>354</v>
      </c>
    </row>
    <row r="5" spans="1:10">
      <c r="A5" s="7" t="s">
        <v>355</v>
      </c>
      <c r="B5" t="s">
        <v>356</v>
      </c>
      <c r="C5" t="s">
        <v>76</v>
      </c>
      <c r="D5" t="s">
        <v>357</v>
      </c>
      <c r="E5" s="8" t="s">
        <v>358</v>
      </c>
    </row>
    <row r="6" spans="1:10">
      <c r="A6" s="7" t="s">
        <v>359</v>
      </c>
      <c r="B6" t="s">
        <v>360</v>
      </c>
      <c r="C6" t="s">
        <v>76</v>
      </c>
      <c r="D6" t="s">
        <v>357</v>
      </c>
      <c r="E6" s="8" t="s">
        <v>361</v>
      </c>
    </row>
    <row r="7" spans="1:10">
      <c r="A7" s="7" t="s">
        <v>362</v>
      </c>
      <c r="B7" t="s">
        <v>363</v>
      </c>
      <c r="C7" t="s">
        <v>78</v>
      </c>
      <c r="D7" t="s">
        <v>357</v>
      </c>
      <c r="E7" s="8" t="s">
        <v>364</v>
      </c>
    </row>
    <row r="8" spans="1:10">
      <c r="A8" s="7" t="s">
        <v>365</v>
      </c>
      <c r="B8" t="s">
        <v>366</v>
      </c>
      <c r="C8" t="s">
        <v>78</v>
      </c>
      <c r="D8" t="s">
        <v>357</v>
      </c>
      <c r="E8" s="8" t="s">
        <v>367</v>
      </c>
    </row>
    <row r="9" spans="1:10">
      <c r="A9" s="7" t="s">
        <v>368</v>
      </c>
      <c r="C9" t="s">
        <v>369</v>
      </c>
      <c r="D9" t="s">
        <v>357</v>
      </c>
      <c r="E9" s="8" t="s">
        <v>370</v>
      </c>
    </row>
    <row r="10" spans="1:10">
      <c r="A10" s="7" t="s">
        <v>371</v>
      </c>
      <c r="C10" t="s">
        <v>369</v>
      </c>
      <c r="D10" t="s">
        <v>357</v>
      </c>
      <c r="E10" s="8" t="s">
        <v>372</v>
      </c>
    </row>
    <row r="11" spans="1:10">
      <c r="A11" s="7" t="s">
        <v>373</v>
      </c>
      <c r="C11" t="s">
        <v>369</v>
      </c>
      <c r="D11" t="s">
        <v>357</v>
      </c>
      <c r="E11" s="8" t="s">
        <v>374</v>
      </c>
    </row>
    <row r="12" spans="1:10">
      <c r="A12" s="7" t="s">
        <v>375</v>
      </c>
      <c r="C12" t="s">
        <v>369</v>
      </c>
      <c r="D12" t="s">
        <v>357</v>
      </c>
      <c r="E12" s="8" t="s">
        <v>376</v>
      </c>
    </row>
    <row r="13" spans="1:10">
      <c r="A13" s="7" t="s">
        <v>377</v>
      </c>
      <c r="C13" t="s">
        <v>378</v>
      </c>
      <c r="D13" t="s">
        <v>357</v>
      </c>
      <c r="E13" s="8" t="s">
        <v>379</v>
      </c>
    </row>
    <row r="14" spans="1:10">
      <c r="A14" s="9" t="s">
        <v>380</v>
      </c>
      <c r="B14" s="10"/>
      <c r="C14" s="10" t="s">
        <v>381</v>
      </c>
      <c r="D14" s="10" t="s">
        <v>357</v>
      </c>
      <c r="E14" s="11" t="s">
        <v>382</v>
      </c>
    </row>
    <row r="16" spans="1:10">
      <c r="A16" s="33" t="s">
        <v>383</v>
      </c>
      <c r="B16" s="27"/>
      <c r="C16" s="27"/>
      <c r="D16" s="27"/>
      <c r="E16" s="27"/>
      <c r="F16" s="27"/>
    </row>
    <row r="17" spans="1:6">
      <c r="A17" s="4" t="s">
        <v>311</v>
      </c>
      <c r="B17" s="5" t="s">
        <v>173</v>
      </c>
      <c r="C17" s="5" t="s">
        <v>138</v>
      </c>
      <c r="D17" s="5" t="s">
        <v>210</v>
      </c>
      <c r="E17" s="5" t="s">
        <v>384</v>
      </c>
      <c r="F17" s="6" t="s">
        <v>71</v>
      </c>
    </row>
    <row r="18" spans="1:6">
      <c r="A18" s="7" t="s">
        <v>385</v>
      </c>
      <c r="B18" t="s">
        <v>386</v>
      </c>
      <c r="C18" t="s">
        <v>387</v>
      </c>
      <c r="D18" t="s">
        <v>388</v>
      </c>
      <c r="E18" t="s">
        <v>76</v>
      </c>
      <c r="F18" s="8" t="s">
        <v>389</v>
      </c>
    </row>
    <row r="19" spans="1:6">
      <c r="A19" s="7" t="s">
        <v>390</v>
      </c>
      <c r="B19" t="s">
        <v>386</v>
      </c>
      <c r="C19" t="s">
        <v>292</v>
      </c>
      <c r="D19" t="s">
        <v>391</v>
      </c>
      <c r="E19" t="s">
        <v>76</v>
      </c>
      <c r="F19" s="8" t="s">
        <v>392</v>
      </c>
    </row>
    <row r="20" spans="1:6">
      <c r="A20" s="7" t="s">
        <v>393</v>
      </c>
      <c r="B20" t="s">
        <v>394</v>
      </c>
      <c r="C20" t="s">
        <v>395</v>
      </c>
      <c r="D20" t="s">
        <v>396</v>
      </c>
      <c r="E20" t="s">
        <v>76</v>
      </c>
      <c r="F20" s="8" t="s">
        <v>397</v>
      </c>
    </row>
    <row r="21" spans="1:6">
      <c r="A21" s="7" t="s">
        <v>398</v>
      </c>
      <c r="B21" t="s">
        <v>399</v>
      </c>
      <c r="C21" t="s">
        <v>395</v>
      </c>
      <c r="D21" t="s">
        <v>400</v>
      </c>
      <c r="E21" t="s">
        <v>76</v>
      </c>
      <c r="F21" s="8" t="s">
        <v>401</v>
      </c>
    </row>
    <row r="22" spans="1:6">
      <c r="A22" s="9" t="s">
        <v>402</v>
      </c>
      <c r="B22" s="10" t="s">
        <v>32</v>
      </c>
      <c r="C22" s="10" t="s">
        <v>403</v>
      </c>
      <c r="D22" s="10" t="s">
        <v>404</v>
      </c>
      <c r="E22" s="10" t="s">
        <v>76</v>
      </c>
      <c r="F22" s="11" t="s">
        <v>405</v>
      </c>
    </row>
    <row r="24" spans="1:6">
      <c r="A24" s="33" t="s">
        <v>406</v>
      </c>
      <c r="B24" s="27"/>
      <c r="C24" s="27"/>
      <c r="D24" s="27"/>
      <c r="E24" s="27"/>
      <c r="F24" s="27"/>
    </row>
    <row r="25" spans="1:6">
      <c r="A25" s="4" t="s">
        <v>407</v>
      </c>
      <c r="B25" s="5" t="s">
        <v>91</v>
      </c>
      <c r="C25" s="6" t="s">
        <v>8</v>
      </c>
    </row>
    <row r="26" spans="1:6">
      <c r="A26" s="7">
        <v>1</v>
      </c>
      <c r="B26" t="s">
        <v>126</v>
      </c>
      <c r="C26" s="8" t="s">
        <v>408</v>
      </c>
    </row>
    <row r="27" spans="1:6">
      <c r="A27" s="7">
        <v>2</v>
      </c>
      <c r="B27" t="s">
        <v>126</v>
      </c>
      <c r="C27" s="8" t="s">
        <v>409</v>
      </c>
    </row>
    <row r="28" spans="1:6">
      <c r="A28" s="7">
        <v>3</v>
      </c>
      <c r="B28" t="s">
        <v>126</v>
      </c>
      <c r="C28" s="8" t="s">
        <v>410</v>
      </c>
    </row>
    <row r="29" spans="1:6">
      <c r="A29" s="7">
        <v>4</v>
      </c>
      <c r="B29" t="s">
        <v>126</v>
      </c>
      <c r="C29" s="8" t="s">
        <v>411</v>
      </c>
    </row>
    <row r="30" spans="1:6">
      <c r="A30" s="7">
        <v>5</v>
      </c>
      <c r="B30" t="s">
        <v>126</v>
      </c>
      <c r="C30" s="8" t="s">
        <v>412</v>
      </c>
    </row>
    <row r="31" spans="1:6">
      <c r="A31" s="9">
        <v>6</v>
      </c>
      <c r="B31" s="10" t="s">
        <v>126</v>
      </c>
      <c r="C31" s="11" t="s">
        <v>413</v>
      </c>
    </row>
  </sheetData>
  <mergeCells count="4">
    <mergeCell ref="A1:J1"/>
    <mergeCell ref="A3:E3"/>
    <mergeCell ref="A16:F16"/>
    <mergeCell ref="A24:F24"/>
  </mergeCells>
  <dataValidations count="1">
    <dataValidation type="list" sqref="B26:B31" xr:uid="{00000000-0002-0000-0A00-000000000000}">
      <formula1>"Pendiente,Hecho,No aplica"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45"/>
  <sheetViews>
    <sheetView workbookViewId="0"/>
  </sheetViews>
  <sheetFormatPr baseColWidth="10" defaultColWidth="8.796875" defaultRowHeight="13.8"/>
  <cols>
    <col min="1" max="1" width="8" customWidth="1"/>
    <col min="2" max="2" width="110" customWidth="1"/>
    <col min="3" max="3" width="4" customWidth="1"/>
    <col min="4" max="8" width="18" customWidth="1"/>
  </cols>
  <sheetData>
    <row r="1" spans="1:8" ht="22.35" customHeight="1">
      <c r="A1" s="26" t="s">
        <v>414</v>
      </c>
      <c r="B1" s="27"/>
      <c r="C1" s="27"/>
      <c r="D1" s="27"/>
      <c r="E1" s="27"/>
      <c r="F1" s="27"/>
      <c r="G1" s="27"/>
      <c r="H1" s="27"/>
    </row>
    <row r="3" spans="1:8">
      <c r="A3" s="41" t="s">
        <v>415</v>
      </c>
      <c r="B3" s="41"/>
      <c r="C3" s="41"/>
      <c r="D3" s="41"/>
      <c r="E3" s="41"/>
      <c r="F3" s="41"/>
      <c r="G3" s="41"/>
      <c r="H3" s="41"/>
    </row>
    <row r="4" spans="1:8">
      <c r="A4" s="41"/>
      <c r="B4" s="41"/>
      <c r="C4" s="41"/>
      <c r="D4" s="41"/>
      <c r="E4" s="41"/>
      <c r="F4" s="41"/>
      <c r="G4" s="41"/>
      <c r="H4" s="41"/>
    </row>
    <row r="6" spans="1:8">
      <c r="A6" s="1" t="s">
        <v>416</v>
      </c>
      <c r="B6" s="3" t="s">
        <v>417</v>
      </c>
    </row>
    <row r="7" spans="1:8">
      <c r="A7">
        <v>1</v>
      </c>
      <c r="B7" s="19" t="s">
        <v>418</v>
      </c>
    </row>
    <row r="8" spans="1:8">
      <c r="A8">
        <v>2</v>
      </c>
      <c r="B8" s="19" t="s">
        <v>419</v>
      </c>
    </row>
    <row r="9" spans="1:8">
      <c r="A9">
        <v>3</v>
      </c>
      <c r="B9" s="19" t="s">
        <v>420</v>
      </c>
    </row>
    <row r="10" spans="1:8">
      <c r="A10">
        <v>4</v>
      </c>
      <c r="B10" s="19" t="s">
        <v>421</v>
      </c>
    </row>
    <row r="11" spans="1:8">
      <c r="A11">
        <v>5</v>
      </c>
      <c r="B11" s="19" t="s">
        <v>422</v>
      </c>
    </row>
    <row r="12" spans="1:8">
      <c r="A12">
        <v>6</v>
      </c>
      <c r="B12" s="19" t="s">
        <v>423</v>
      </c>
    </row>
    <row r="13" spans="1:8">
      <c r="A13">
        <v>7</v>
      </c>
      <c r="B13" s="19" t="s">
        <v>424</v>
      </c>
    </row>
    <row r="14" spans="1:8">
      <c r="A14">
        <v>8</v>
      </c>
      <c r="B14" s="19"/>
    </row>
    <row r="15" spans="1:8">
      <c r="A15">
        <v>9</v>
      </c>
      <c r="B15" s="19" t="s">
        <v>425</v>
      </c>
    </row>
    <row r="16" spans="1:8">
      <c r="A16">
        <v>10</v>
      </c>
      <c r="B16" s="19" t="s">
        <v>426</v>
      </c>
    </row>
    <row r="17" spans="1:2">
      <c r="A17">
        <v>11</v>
      </c>
      <c r="B17" s="19" t="s">
        <v>427</v>
      </c>
    </row>
    <row r="18" spans="1:2">
      <c r="A18">
        <v>12</v>
      </c>
      <c r="B18" s="19" t="s">
        <v>428</v>
      </c>
    </row>
    <row r="19" spans="1:2">
      <c r="A19">
        <v>13</v>
      </c>
      <c r="B19" s="19" t="s">
        <v>429</v>
      </c>
    </row>
    <row r="20" spans="1:2">
      <c r="A20">
        <v>14</v>
      </c>
      <c r="B20" s="19" t="s">
        <v>430</v>
      </c>
    </row>
    <row r="21" spans="1:2">
      <c r="A21">
        <v>15</v>
      </c>
      <c r="B21" s="19" t="s">
        <v>431</v>
      </c>
    </row>
    <row r="22" spans="1:2">
      <c r="A22">
        <v>16</v>
      </c>
      <c r="B22" s="19" t="s">
        <v>432</v>
      </c>
    </row>
    <row r="23" spans="1:2">
      <c r="A23">
        <v>17</v>
      </c>
      <c r="B23" s="19" t="s">
        <v>433</v>
      </c>
    </row>
    <row r="24" spans="1:2">
      <c r="A24">
        <v>18</v>
      </c>
      <c r="B24" s="19" t="s">
        <v>434</v>
      </c>
    </row>
    <row r="25" spans="1:2">
      <c r="A25">
        <v>19</v>
      </c>
      <c r="B25" s="19" t="s">
        <v>435</v>
      </c>
    </row>
    <row r="26" spans="1:2">
      <c r="A26">
        <v>20</v>
      </c>
      <c r="B26" s="19" t="s">
        <v>436</v>
      </c>
    </row>
    <row r="27" spans="1:2">
      <c r="A27">
        <v>21</v>
      </c>
      <c r="B27" s="19" t="s">
        <v>437</v>
      </c>
    </row>
    <row r="28" spans="1:2">
      <c r="A28">
        <v>22</v>
      </c>
      <c r="B28" s="19" t="s">
        <v>438</v>
      </c>
    </row>
    <row r="29" spans="1:2">
      <c r="A29">
        <v>23</v>
      </c>
      <c r="B29" s="19" t="s">
        <v>439</v>
      </c>
    </row>
    <row r="30" spans="1:2">
      <c r="A30">
        <v>24</v>
      </c>
      <c r="B30" s="19" t="s">
        <v>440</v>
      </c>
    </row>
    <row r="31" spans="1:2">
      <c r="A31">
        <v>25</v>
      </c>
      <c r="B31" s="19" t="s">
        <v>432</v>
      </c>
    </row>
    <row r="32" spans="1:2">
      <c r="A32">
        <v>26</v>
      </c>
      <c r="B32" s="19" t="s">
        <v>441</v>
      </c>
    </row>
    <row r="33" spans="1:2">
      <c r="A33">
        <v>27</v>
      </c>
      <c r="B33" s="19" t="s">
        <v>442</v>
      </c>
    </row>
    <row r="34" spans="1:2">
      <c r="A34">
        <v>28</v>
      </c>
      <c r="B34" s="19" t="s">
        <v>443</v>
      </c>
    </row>
    <row r="35" spans="1:2">
      <c r="A35">
        <v>29</v>
      </c>
      <c r="B35" s="19" t="s">
        <v>444</v>
      </c>
    </row>
    <row r="36" spans="1:2">
      <c r="A36">
        <v>30</v>
      </c>
      <c r="B36" s="19" t="s">
        <v>445</v>
      </c>
    </row>
    <row r="37" spans="1:2">
      <c r="A37">
        <v>31</v>
      </c>
      <c r="B37" s="19" t="s">
        <v>446</v>
      </c>
    </row>
    <row r="38" spans="1:2">
      <c r="A38">
        <v>32</v>
      </c>
      <c r="B38" s="19" t="s">
        <v>447</v>
      </c>
    </row>
    <row r="39" spans="1:2">
      <c r="A39">
        <v>33</v>
      </c>
      <c r="B39" s="19" t="s">
        <v>448</v>
      </c>
    </row>
    <row r="40" spans="1:2">
      <c r="A40">
        <v>34</v>
      </c>
      <c r="B40" s="19" t="s">
        <v>432</v>
      </c>
    </row>
    <row r="41" spans="1:2">
      <c r="A41">
        <v>35</v>
      </c>
      <c r="B41" s="19" t="s">
        <v>449</v>
      </c>
    </row>
    <row r="42" spans="1:2">
      <c r="A42">
        <v>36</v>
      </c>
      <c r="B42" s="19" t="s">
        <v>450</v>
      </c>
    </row>
    <row r="43" spans="1:2">
      <c r="A43">
        <v>37</v>
      </c>
      <c r="B43" s="19" t="s">
        <v>451</v>
      </c>
    </row>
    <row r="44" spans="1:2">
      <c r="A44">
        <v>38</v>
      </c>
      <c r="B44" s="19" t="s">
        <v>452</v>
      </c>
    </row>
    <row r="45" spans="1:2">
      <c r="A45">
        <v>39</v>
      </c>
      <c r="B45" s="19" t="s">
        <v>453</v>
      </c>
    </row>
    <row r="46" spans="1:2">
      <c r="A46">
        <v>40</v>
      </c>
      <c r="B46" s="19" t="s">
        <v>454</v>
      </c>
    </row>
    <row r="47" spans="1:2">
      <c r="A47">
        <v>41</v>
      </c>
      <c r="B47" s="19" t="s">
        <v>455</v>
      </c>
    </row>
    <row r="48" spans="1:2">
      <c r="A48">
        <v>42</v>
      </c>
      <c r="B48" s="19" t="s">
        <v>456</v>
      </c>
    </row>
    <row r="49" spans="1:2">
      <c r="A49">
        <v>43</v>
      </c>
      <c r="B49" s="19" t="s">
        <v>457</v>
      </c>
    </row>
    <row r="50" spans="1:2">
      <c r="A50">
        <v>44</v>
      </c>
      <c r="B50" s="19" t="s">
        <v>458</v>
      </c>
    </row>
    <row r="51" spans="1:2">
      <c r="A51">
        <v>45</v>
      </c>
      <c r="B51" s="19" t="s">
        <v>459</v>
      </c>
    </row>
    <row r="52" spans="1:2">
      <c r="A52">
        <v>46</v>
      </c>
      <c r="B52" s="19" t="s">
        <v>460</v>
      </c>
    </row>
    <row r="53" spans="1:2">
      <c r="A53">
        <v>47</v>
      </c>
      <c r="B53" s="19" t="s">
        <v>461</v>
      </c>
    </row>
    <row r="54" spans="1:2">
      <c r="A54">
        <v>48</v>
      </c>
      <c r="B54" s="19" t="s">
        <v>462</v>
      </c>
    </row>
    <row r="55" spans="1:2">
      <c r="A55">
        <v>49</v>
      </c>
      <c r="B55" s="19" t="s">
        <v>432</v>
      </c>
    </row>
    <row r="56" spans="1:2">
      <c r="A56">
        <v>50</v>
      </c>
      <c r="B56" s="19" t="s">
        <v>463</v>
      </c>
    </row>
    <row r="57" spans="1:2">
      <c r="A57">
        <v>51</v>
      </c>
      <c r="B57" s="19" t="s">
        <v>464</v>
      </c>
    </row>
    <row r="58" spans="1:2">
      <c r="A58">
        <v>52</v>
      </c>
      <c r="B58" s="19" t="s">
        <v>465</v>
      </c>
    </row>
    <row r="59" spans="1:2">
      <c r="A59">
        <v>53</v>
      </c>
      <c r="B59" s="19" t="s">
        <v>466</v>
      </c>
    </row>
    <row r="60" spans="1:2">
      <c r="A60">
        <v>54</v>
      </c>
      <c r="B60" s="19" t="s">
        <v>467</v>
      </c>
    </row>
    <row r="61" spans="1:2">
      <c r="A61">
        <v>55</v>
      </c>
      <c r="B61" s="19" t="s">
        <v>468</v>
      </c>
    </row>
    <row r="62" spans="1:2">
      <c r="A62">
        <v>56</v>
      </c>
      <c r="B62" s="19" t="s">
        <v>469</v>
      </c>
    </row>
    <row r="63" spans="1:2">
      <c r="A63">
        <v>57</v>
      </c>
      <c r="B63" s="19" t="s">
        <v>470</v>
      </c>
    </row>
    <row r="64" spans="1:2">
      <c r="A64">
        <v>58</v>
      </c>
      <c r="B64" s="19" t="s">
        <v>471</v>
      </c>
    </row>
    <row r="65" spans="1:2">
      <c r="A65">
        <v>59</v>
      </c>
      <c r="B65" s="19" t="s">
        <v>472</v>
      </c>
    </row>
    <row r="66" spans="1:2">
      <c r="A66">
        <v>60</v>
      </c>
      <c r="B66" s="19" t="s">
        <v>432</v>
      </c>
    </row>
    <row r="67" spans="1:2">
      <c r="A67">
        <v>61</v>
      </c>
      <c r="B67" s="19" t="s">
        <v>432</v>
      </c>
    </row>
    <row r="68" spans="1:2">
      <c r="A68">
        <v>62</v>
      </c>
      <c r="B68" s="19" t="s">
        <v>473</v>
      </c>
    </row>
    <row r="69" spans="1:2">
      <c r="A69">
        <v>63</v>
      </c>
      <c r="B69" s="19" t="s">
        <v>474</v>
      </c>
    </row>
    <row r="70" spans="1:2">
      <c r="A70">
        <v>64</v>
      </c>
      <c r="B70" s="19" t="s">
        <v>475</v>
      </c>
    </row>
    <row r="71" spans="1:2">
      <c r="A71">
        <v>65</v>
      </c>
      <c r="B71" s="19" t="s">
        <v>476</v>
      </c>
    </row>
    <row r="72" spans="1:2">
      <c r="A72">
        <v>66</v>
      </c>
      <c r="B72" s="19" t="s">
        <v>432</v>
      </c>
    </row>
    <row r="73" spans="1:2">
      <c r="A73">
        <v>67</v>
      </c>
      <c r="B73" s="19" t="s">
        <v>477</v>
      </c>
    </row>
    <row r="74" spans="1:2">
      <c r="A74">
        <v>68</v>
      </c>
      <c r="B74" s="19" t="s">
        <v>478</v>
      </c>
    </row>
    <row r="75" spans="1:2">
      <c r="A75">
        <v>69</v>
      </c>
      <c r="B75" s="19" t="s">
        <v>479</v>
      </c>
    </row>
    <row r="76" spans="1:2">
      <c r="A76">
        <v>70</v>
      </c>
      <c r="B76" s="19" t="s">
        <v>480</v>
      </c>
    </row>
    <row r="77" spans="1:2">
      <c r="A77">
        <v>71</v>
      </c>
      <c r="B77" s="19" t="s">
        <v>481</v>
      </c>
    </row>
    <row r="78" spans="1:2">
      <c r="A78">
        <v>72</v>
      </c>
      <c r="B78" s="19" t="s">
        <v>432</v>
      </c>
    </row>
    <row r="79" spans="1:2">
      <c r="A79">
        <v>73</v>
      </c>
      <c r="B79" s="19" t="s">
        <v>482</v>
      </c>
    </row>
    <row r="80" spans="1:2">
      <c r="A80">
        <v>74</v>
      </c>
      <c r="B80" s="19" t="s">
        <v>483</v>
      </c>
    </row>
    <row r="81" spans="1:2">
      <c r="A81">
        <v>75</v>
      </c>
      <c r="B81" s="19" t="s">
        <v>484</v>
      </c>
    </row>
    <row r="82" spans="1:2">
      <c r="A82">
        <v>76</v>
      </c>
      <c r="B82" s="19" t="s">
        <v>432</v>
      </c>
    </row>
    <row r="83" spans="1:2">
      <c r="A83">
        <v>77</v>
      </c>
      <c r="B83" s="19" t="s">
        <v>485</v>
      </c>
    </row>
    <row r="84" spans="1:2">
      <c r="A84">
        <v>78</v>
      </c>
      <c r="B84" s="19" t="s">
        <v>486</v>
      </c>
    </row>
    <row r="85" spans="1:2">
      <c r="A85">
        <v>79</v>
      </c>
      <c r="B85" s="19" t="s">
        <v>487</v>
      </c>
    </row>
    <row r="86" spans="1:2">
      <c r="A86">
        <v>80</v>
      </c>
      <c r="B86" s="19" t="s">
        <v>432</v>
      </c>
    </row>
    <row r="87" spans="1:2">
      <c r="A87">
        <v>81</v>
      </c>
      <c r="B87" s="19" t="s">
        <v>488</v>
      </c>
    </row>
    <row r="88" spans="1:2">
      <c r="A88">
        <v>82</v>
      </c>
      <c r="B88" s="19" t="s">
        <v>489</v>
      </c>
    </row>
    <row r="89" spans="1:2">
      <c r="A89">
        <v>83</v>
      </c>
      <c r="B89" s="19" t="s">
        <v>490</v>
      </c>
    </row>
    <row r="90" spans="1:2">
      <c r="A90">
        <v>84</v>
      </c>
      <c r="B90" s="19" t="s">
        <v>491</v>
      </c>
    </row>
    <row r="91" spans="1:2">
      <c r="A91">
        <v>85</v>
      </c>
      <c r="B91" s="19" t="s">
        <v>492</v>
      </c>
    </row>
    <row r="92" spans="1:2">
      <c r="A92">
        <v>86</v>
      </c>
      <c r="B92" s="19" t="s">
        <v>493</v>
      </c>
    </row>
    <row r="93" spans="1:2">
      <c r="A93">
        <v>87</v>
      </c>
      <c r="B93" s="19" t="s">
        <v>494</v>
      </c>
    </row>
    <row r="94" spans="1:2">
      <c r="A94">
        <v>88</v>
      </c>
      <c r="B94" s="19" t="s">
        <v>462</v>
      </c>
    </row>
    <row r="95" spans="1:2">
      <c r="A95">
        <v>89</v>
      </c>
      <c r="B95" s="19" t="s">
        <v>432</v>
      </c>
    </row>
    <row r="96" spans="1:2">
      <c r="A96">
        <v>90</v>
      </c>
      <c r="B96" s="19" t="s">
        <v>495</v>
      </c>
    </row>
    <row r="97" spans="1:2">
      <c r="A97">
        <v>91</v>
      </c>
      <c r="B97" s="19" t="s">
        <v>464</v>
      </c>
    </row>
    <row r="98" spans="1:2">
      <c r="A98">
        <v>92</v>
      </c>
      <c r="B98" s="19" t="s">
        <v>496</v>
      </c>
    </row>
    <row r="99" spans="1:2">
      <c r="A99">
        <v>93</v>
      </c>
      <c r="B99" s="19" t="s">
        <v>497</v>
      </c>
    </row>
    <row r="100" spans="1:2">
      <c r="A100">
        <v>94</v>
      </c>
      <c r="B100" s="19" t="s">
        <v>432</v>
      </c>
    </row>
    <row r="101" spans="1:2">
      <c r="A101">
        <v>95</v>
      </c>
      <c r="B101" s="19" t="s">
        <v>498</v>
      </c>
    </row>
    <row r="102" spans="1:2">
      <c r="A102">
        <v>96</v>
      </c>
      <c r="B102" s="19" t="s">
        <v>499</v>
      </c>
    </row>
    <row r="103" spans="1:2">
      <c r="A103">
        <v>97</v>
      </c>
      <c r="B103" s="19" t="s">
        <v>500</v>
      </c>
    </row>
    <row r="104" spans="1:2">
      <c r="A104">
        <v>98</v>
      </c>
      <c r="B104" s="19" t="s">
        <v>501</v>
      </c>
    </row>
    <row r="105" spans="1:2">
      <c r="A105">
        <v>99</v>
      </c>
      <c r="B105" s="19" t="s">
        <v>502</v>
      </c>
    </row>
    <row r="106" spans="1:2">
      <c r="A106">
        <v>100</v>
      </c>
      <c r="B106" s="19" t="s">
        <v>432</v>
      </c>
    </row>
    <row r="107" spans="1:2">
      <c r="A107">
        <v>101</v>
      </c>
      <c r="B107" s="19" t="s">
        <v>503</v>
      </c>
    </row>
    <row r="108" spans="1:2">
      <c r="A108">
        <v>102</v>
      </c>
      <c r="B108" s="19" t="s">
        <v>504</v>
      </c>
    </row>
    <row r="109" spans="1:2">
      <c r="A109">
        <v>103</v>
      </c>
      <c r="B109" s="19" t="s">
        <v>505</v>
      </c>
    </row>
    <row r="110" spans="1:2">
      <c r="A110">
        <v>104</v>
      </c>
      <c r="B110" s="19" t="s">
        <v>432</v>
      </c>
    </row>
    <row r="111" spans="1:2">
      <c r="A111">
        <v>105</v>
      </c>
      <c r="B111" s="19" t="s">
        <v>506</v>
      </c>
    </row>
    <row r="112" spans="1:2">
      <c r="A112">
        <v>106</v>
      </c>
      <c r="B112" s="19" t="s">
        <v>507</v>
      </c>
    </row>
    <row r="113" spans="1:2">
      <c r="A113">
        <v>107</v>
      </c>
      <c r="B113" s="19" t="s">
        <v>508</v>
      </c>
    </row>
    <row r="114" spans="1:2">
      <c r="A114">
        <v>108</v>
      </c>
      <c r="B114" s="19" t="s">
        <v>509</v>
      </c>
    </row>
    <row r="115" spans="1:2">
      <c r="A115">
        <v>109</v>
      </c>
      <c r="B115" s="19" t="s">
        <v>510</v>
      </c>
    </row>
    <row r="116" spans="1:2">
      <c r="A116">
        <v>110</v>
      </c>
      <c r="B116" s="19" t="s">
        <v>432</v>
      </c>
    </row>
    <row r="117" spans="1:2">
      <c r="A117">
        <v>111</v>
      </c>
      <c r="B117" s="19" t="s">
        <v>511</v>
      </c>
    </row>
    <row r="118" spans="1:2">
      <c r="A118">
        <v>112</v>
      </c>
      <c r="B118" s="19" t="s">
        <v>512</v>
      </c>
    </row>
    <row r="119" spans="1:2">
      <c r="A119">
        <v>113</v>
      </c>
      <c r="B119" s="19" t="s">
        <v>513</v>
      </c>
    </row>
    <row r="120" spans="1:2">
      <c r="A120">
        <v>114</v>
      </c>
      <c r="B120" s="19" t="s">
        <v>514</v>
      </c>
    </row>
    <row r="121" spans="1:2">
      <c r="A121">
        <v>115</v>
      </c>
      <c r="B121" s="19" t="s">
        <v>515</v>
      </c>
    </row>
    <row r="122" spans="1:2">
      <c r="A122">
        <v>116</v>
      </c>
      <c r="B122" s="19" t="s">
        <v>432</v>
      </c>
    </row>
    <row r="123" spans="1:2">
      <c r="A123">
        <v>117</v>
      </c>
      <c r="B123" s="19" t="s">
        <v>516</v>
      </c>
    </row>
    <row r="124" spans="1:2">
      <c r="A124">
        <v>118</v>
      </c>
      <c r="B124" s="19" t="s">
        <v>432</v>
      </c>
    </row>
    <row r="125" spans="1:2">
      <c r="A125">
        <v>119</v>
      </c>
      <c r="B125" s="19" t="s">
        <v>517</v>
      </c>
    </row>
    <row r="126" spans="1:2">
      <c r="A126">
        <v>120</v>
      </c>
      <c r="B126" s="19" t="s">
        <v>518</v>
      </c>
    </row>
    <row r="127" spans="1:2">
      <c r="A127">
        <v>121</v>
      </c>
      <c r="B127" s="19" t="s">
        <v>519</v>
      </c>
    </row>
    <row r="128" spans="1:2">
      <c r="A128">
        <v>122</v>
      </c>
      <c r="B128" s="19" t="s">
        <v>520</v>
      </c>
    </row>
    <row r="129" spans="1:2">
      <c r="A129">
        <v>123</v>
      </c>
      <c r="B129" s="19" t="s">
        <v>521</v>
      </c>
    </row>
    <row r="130" spans="1:2">
      <c r="A130">
        <v>124</v>
      </c>
      <c r="B130" s="19" t="s">
        <v>522</v>
      </c>
    </row>
    <row r="131" spans="1:2">
      <c r="A131">
        <v>125</v>
      </c>
      <c r="B131" s="19" t="s">
        <v>523</v>
      </c>
    </row>
    <row r="132" spans="1:2">
      <c r="A132">
        <v>126</v>
      </c>
      <c r="B132" s="19" t="s">
        <v>524</v>
      </c>
    </row>
    <row r="133" spans="1:2">
      <c r="A133">
        <v>127</v>
      </c>
      <c r="B133" s="19" t="s">
        <v>432</v>
      </c>
    </row>
    <row r="134" spans="1:2">
      <c r="A134">
        <v>128</v>
      </c>
      <c r="B134" s="19" t="s">
        <v>525</v>
      </c>
    </row>
    <row r="135" spans="1:2">
      <c r="A135">
        <v>129</v>
      </c>
      <c r="B135" s="19" t="s">
        <v>526</v>
      </c>
    </row>
    <row r="136" spans="1:2">
      <c r="A136">
        <v>130</v>
      </c>
      <c r="B136" s="19" t="s">
        <v>527</v>
      </c>
    </row>
    <row r="137" spans="1:2">
      <c r="A137">
        <v>131</v>
      </c>
      <c r="B137" s="19" t="s">
        <v>528</v>
      </c>
    </row>
    <row r="138" spans="1:2">
      <c r="A138">
        <v>132</v>
      </c>
      <c r="B138" s="19" t="s">
        <v>432</v>
      </c>
    </row>
    <row r="139" spans="1:2">
      <c r="A139">
        <v>133</v>
      </c>
      <c r="B139" s="19" t="s">
        <v>529</v>
      </c>
    </row>
    <row r="140" spans="1:2">
      <c r="A140">
        <v>134</v>
      </c>
      <c r="B140" s="19" t="s">
        <v>530</v>
      </c>
    </row>
    <row r="141" spans="1:2">
      <c r="A141">
        <v>135</v>
      </c>
      <c r="B141" s="19" t="s">
        <v>531</v>
      </c>
    </row>
    <row r="142" spans="1:2">
      <c r="A142">
        <v>136</v>
      </c>
      <c r="B142" s="19" t="s">
        <v>532</v>
      </c>
    </row>
    <row r="143" spans="1:2">
      <c r="A143">
        <v>137</v>
      </c>
      <c r="B143" s="19" t="s">
        <v>533</v>
      </c>
    </row>
    <row r="144" spans="1:2">
      <c r="A144">
        <v>138</v>
      </c>
      <c r="B144" s="19" t="s">
        <v>534</v>
      </c>
    </row>
    <row r="145" spans="1:2">
      <c r="A145">
        <v>139</v>
      </c>
      <c r="B145" s="19" t="s">
        <v>432</v>
      </c>
    </row>
  </sheetData>
  <mergeCells count="2">
    <mergeCell ref="A1:H1"/>
    <mergeCell ref="A3:H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4"/>
  <sheetViews>
    <sheetView workbookViewId="0"/>
  </sheetViews>
  <sheetFormatPr baseColWidth="10" defaultColWidth="8.796875" defaultRowHeight="13.8"/>
  <cols>
    <col min="1" max="1" width="32" customWidth="1"/>
    <col min="2" max="2" width="16" customWidth="1"/>
    <col min="3" max="3" width="14" customWidth="1"/>
    <col min="4" max="4" width="20" customWidth="1"/>
    <col min="5" max="5" width="42" customWidth="1"/>
    <col min="6" max="6" width="12" customWidth="1"/>
    <col min="7" max="8" width="18" customWidth="1"/>
  </cols>
  <sheetData>
    <row r="1" spans="1:8" ht="22.35" customHeight="1">
      <c r="A1" s="26" t="s">
        <v>535</v>
      </c>
      <c r="B1" s="27"/>
      <c r="C1" s="27"/>
      <c r="D1" s="27"/>
      <c r="E1" s="27"/>
      <c r="F1" s="27"/>
      <c r="G1" s="27"/>
      <c r="H1" s="27"/>
    </row>
    <row r="3" spans="1:8">
      <c r="A3" s="4" t="s">
        <v>248</v>
      </c>
      <c r="B3" s="5" t="s">
        <v>536</v>
      </c>
      <c r="C3" s="5" t="s">
        <v>537</v>
      </c>
      <c r="D3" s="5" t="s">
        <v>538</v>
      </c>
      <c r="E3" s="5" t="s">
        <v>174</v>
      </c>
      <c r="F3" s="6" t="s">
        <v>539</v>
      </c>
    </row>
    <row r="4" spans="1:8">
      <c r="A4" s="7" t="s">
        <v>540</v>
      </c>
      <c r="B4" s="15">
        <v>0.85</v>
      </c>
      <c r="C4" s="15">
        <v>0.25</v>
      </c>
      <c r="D4" t="s">
        <v>541</v>
      </c>
      <c r="E4" t="s">
        <v>542</v>
      </c>
      <c r="F4" s="8" t="s">
        <v>76</v>
      </c>
    </row>
    <row r="5" spans="1:8">
      <c r="A5" s="7" t="s">
        <v>543</v>
      </c>
      <c r="B5">
        <v>120</v>
      </c>
      <c r="C5" s="15">
        <v>0.2</v>
      </c>
      <c r="D5" t="s">
        <v>544</v>
      </c>
      <c r="E5" t="s">
        <v>545</v>
      </c>
      <c r="F5" s="8" t="s">
        <v>76</v>
      </c>
    </row>
    <row r="6" spans="1:8">
      <c r="A6" s="7" t="s">
        <v>258</v>
      </c>
      <c r="B6">
        <v>2</v>
      </c>
      <c r="C6" s="15">
        <v>0.15</v>
      </c>
      <c r="D6" t="s">
        <v>546</v>
      </c>
      <c r="E6" t="s">
        <v>31</v>
      </c>
      <c r="F6" s="8" t="s">
        <v>76</v>
      </c>
    </row>
    <row r="7" spans="1:8">
      <c r="A7" s="7" t="s">
        <v>547</v>
      </c>
      <c r="B7">
        <v>4</v>
      </c>
      <c r="C7" s="15">
        <v>0.1</v>
      </c>
      <c r="D7" t="s">
        <v>548</v>
      </c>
      <c r="E7" t="s">
        <v>549</v>
      </c>
      <c r="F7" s="8" t="s">
        <v>76</v>
      </c>
    </row>
    <row r="8" spans="1:8">
      <c r="A8" s="7" t="s">
        <v>550</v>
      </c>
      <c r="B8" s="15">
        <v>0.7</v>
      </c>
      <c r="C8" s="15">
        <v>0.15</v>
      </c>
      <c r="D8" t="s">
        <v>551</v>
      </c>
      <c r="E8" t="s">
        <v>552</v>
      </c>
      <c r="F8" s="8" t="s">
        <v>76</v>
      </c>
    </row>
    <row r="9" spans="1:8">
      <c r="A9" s="7" t="s">
        <v>279</v>
      </c>
      <c r="B9" s="15">
        <v>0.8</v>
      </c>
      <c r="C9" s="15">
        <v>0.1</v>
      </c>
      <c r="D9" t="s">
        <v>553</v>
      </c>
      <c r="E9" t="s">
        <v>554</v>
      </c>
      <c r="F9" s="8" t="s">
        <v>76</v>
      </c>
    </row>
    <row r="10" spans="1:8">
      <c r="A10" s="9" t="s">
        <v>241</v>
      </c>
      <c r="B10" s="10">
        <v>1</v>
      </c>
      <c r="C10" s="16">
        <v>0.05</v>
      </c>
      <c r="D10" s="10" t="s">
        <v>555</v>
      </c>
      <c r="E10" s="10" t="s">
        <v>556</v>
      </c>
      <c r="F10" s="11" t="s">
        <v>76</v>
      </c>
    </row>
    <row r="12" spans="1:8">
      <c r="A12" s="42" t="s">
        <v>557</v>
      </c>
      <c r="B12" s="42"/>
      <c r="C12" s="42"/>
      <c r="D12" s="42"/>
      <c r="E12" s="42"/>
      <c r="F12" s="42"/>
      <c r="G12" s="42"/>
      <c r="H12" s="42"/>
    </row>
    <row r="13" spans="1:8">
      <c r="A13" s="42"/>
      <c r="B13" s="42"/>
      <c r="C13" s="42"/>
      <c r="D13" s="42"/>
      <c r="E13" s="42"/>
      <c r="F13" s="42"/>
      <c r="G13" s="42"/>
      <c r="H13" s="42"/>
    </row>
    <row r="14" spans="1:8">
      <c r="A14" s="42"/>
      <c r="B14" s="42"/>
      <c r="C14" s="42"/>
      <c r="D14" s="42"/>
      <c r="E14" s="42"/>
      <c r="F14" s="42"/>
      <c r="G14" s="42"/>
      <c r="H14" s="42"/>
    </row>
  </sheetData>
  <mergeCells count="2">
    <mergeCell ref="A1:H1"/>
    <mergeCell ref="A12:H1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38"/>
  <sheetViews>
    <sheetView workbookViewId="0"/>
  </sheetViews>
  <sheetFormatPr baseColWidth="10" defaultColWidth="8.796875" defaultRowHeight="13.8"/>
  <cols>
    <col min="1" max="1" width="34" customWidth="1"/>
    <col min="2" max="2" width="54" customWidth="1"/>
    <col min="3" max="3" width="90" customWidth="1"/>
    <col min="4" max="8" width="18" customWidth="1"/>
  </cols>
  <sheetData>
    <row r="1" spans="1:8" ht="22.35" customHeight="1">
      <c r="A1" s="26" t="s">
        <v>558</v>
      </c>
      <c r="B1" s="27"/>
      <c r="C1" s="27"/>
      <c r="D1" s="27"/>
      <c r="E1" s="27"/>
      <c r="F1" s="27"/>
      <c r="G1" s="27"/>
      <c r="H1" s="27"/>
    </row>
    <row r="3" spans="1:8">
      <c r="A3" s="33" t="s">
        <v>559</v>
      </c>
      <c r="B3" s="27"/>
      <c r="C3" s="27"/>
      <c r="D3" s="27"/>
      <c r="E3" s="27"/>
      <c r="F3" s="27"/>
      <c r="G3" s="27"/>
      <c r="H3" s="27"/>
    </row>
    <row r="4" spans="1:8">
      <c r="A4" s="4" t="s">
        <v>560</v>
      </c>
      <c r="B4" s="5" t="s">
        <v>561</v>
      </c>
      <c r="C4" s="6" t="s">
        <v>562</v>
      </c>
    </row>
    <row r="5" spans="1:8">
      <c r="A5" s="7" t="s">
        <v>563</v>
      </c>
      <c r="B5" t="s">
        <v>564</v>
      </c>
      <c r="C5" s="8" t="s">
        <v>565</v>
      </c>
    </row>
    <row r="6" spans="1:8">
      <c r="A6" s="7" t="s">
        <v>566</v>
      </c>
      <c r="B6" t="s">
        <v>567</v>
      </c>
      <c r="C6" s="8" t="s">
        <v>568</v>
      </c>
    </row>
    <row r="7" spans="1:8">
      <c r="A7" s="7" t="s">
        <v>569</v>
      </c>
      <c r="B7" t="s">
        <v>570</v>
      </c>
      <c r="C7" s="8" t="s">
        <v>571</v>
      </c>
    </row>
    <row r="8" spans="1:8">
      <c r="A8" s="7" t="s">
        <v>153</v>
      </c>
      <c r="B8" t="s">
        <v>572</v>
      </c>
      <c r="C8" s="8" t="s">
        <v>573</v>
      </c>
    </row>
    <row r="9" spans="1:8">
      <c r="A9" s="7" t="s">
        <v>574</v>
      </c>
      <c r="B9" t="s">
        <v>575</v>
      </c>
      <c r="C9" s="8" t="s">
        <v>576</v>
      </c>
    </row>
    <row r="10" spans="1:8">
      <c r="A10" s="7" t="s">
        <v>577</v>
      </c>
      <c r="B10" t="s">
        <v>578</v>
      </c>
      <c r="C10" s="8" t="s">
        <v>579</v>
      </c>
    </row>
    <row r="11" spans="1:8">
      <c r="A11" s="7" t="s">
        <v>580</v>
      </c>
      <c r="B11" t="s">
        <v>581</v>
      </c>
      <c r="C11" s="8" t="s">
        <v>582</v>
      </c>
    </row>
    <row r="12" spans="1:8">
      <c r="A12" s="9" t="s">
        <v>583</v>
      </c>
      <c r="B12" s="10" t="s">
        <v>584</v>
      </c>
      <c r="C12" s="11" t="s">
        <v>585</v>
      </c>
    </row>
    <row r="14" spans="1:8">
      <c r="A14" s="33" t="s">
        <v>586</v>
      </c>
      <c r="B14" s="27"/>
      <c r="C14" s="27"/>
      <c r="D14" s="27"/>
      <c r="E14" s="27"/>
      <c r="F14" s="27"/>
      <c r="G14" s="27"/>
      <c r="H14" s="27"/>
    </row>
    <row r="15" spans="1:8">
      <c r="A15" s="4" t="s">
        <v>61</v>
      </c>
      <c r="B15" s="5" t="s">
        <v>587</v>
      </c>
      <c r="C15" s="6" t="s">
        <v>588</v>
      </c>
    </row>
    <row r="16" spans="1:8">
      <c r="A16" s="7" t="s">
        <v>589</v>
      </c>
      <c r="B16" t="s">
        <v>590</v>
      </c>
      <c r="C16" s="8" t="s">
        <v>591</v>
      </c>
    </row>
    <row r="17" spans="1:8">
      <c r="A17" s="7" t="s">
        <v>592</v>
      </c>
      <c r="B17" t="s">
        <v>593</v>
      </c>
      <c r="C17" s="8" t="s">
        <v>594</v>
      </c>
    </row>
    <row r="18" spans="1:8">
      <c r="A18" s="7" t="s">
        <v>595</v>
      </c>
      <c r="B18" t="s">
        <v>596</v>
      </c>
      <c r="C18" s="8" t="s">
        <v>597</v>
      </c>
    </row>
    <row r="19" spans="1:8">
      <c r="A19" s="7" t="s">
        <v>598</v>
      </c>
      <c r="B19" t="s">
        <v>599</v>
      </c>
      <c r="C19" s="8" t="s">
        <v>600</v>
      </c>
    </row>
    <row r="20" spans="1:8">
      <c r="A20" s="7" t="s">
        <v>601</v>
      </c>
      <c r="B20" t="s">
        <v>602</v>
      </c>
      <c r="C20" s="8" t="s">
        <v>603</v>
      </c>
    </row>
    <row r="21" spans="1:8">
      <c r="A21" s="9" t="s">
        <v>604</v>
      </c>
      <c r="B21" s="10" t="s">
        <v>605</v>
      </c>
      <c r="C21" s="11" t="s">
        <v>606</v>
      </c>
    </row>
    <row r="23" spans="1:8">
      <c r="A23" s="33" t="s">
        <v>607</v>
      </c>
      <c r="B23" s="27"/>
      <c r="C23" s="27"/>
      <c r="D23" s="27"/>
      <c r="E23" s="27"/>
      <c r="F23" s="27"/>
      <c r="G23" s="27"/>
      <c r="H23" s="27"/>
    </row>
    <row r="24" spans="1:8">
      <c r="A24" s="4">
        <v>1</v>
      </c>
      <c r="B24" s="6" t="s">
        <v>608</v>
      </c>
    </row>
    <row r="25" spans="1:8">
      <c r="A25" s="7">
        <v>2</v>
      </c>
      <c r="B25" s="8" t="s">
        <v>609</v>
      </c>
    </row>
    <row r="26" spans="1:8">
      <c r="A26" s="7">
        <v>3</v>
      </c>
      <c r="B26" s="8" t="s">
        <v>610</v>
      </c>
    </row>
    <row r="27" spans="1:8">
      <c r="A27" s="7">
        <v>4</v>
      </c>
      <c r="B27" s="8" t="s">
        <v>611</v>
      </c>
    </row>
    <row r="28" spans="1:8">
      <c r="A28" s="7">
        <v>5</v>
      </c>
      <c r="B28" s="8" t="s">
        <v>612</v>
      </c>
    </row>
    <row r="29" spans="1:8">
      <c r="A29" s="7">
        <v>6</v>
      </c>
      <c r="B29" s="8" t="s">
        <v>613</v>
      </c>
    </row>
    <row r="30" spans="1:8">
      <c r="A30" s="7">
        <v>7</v>
      </c>
      <c r="B30" s="8" t="s">
        <v>614</v>
      </c>
    </row>
    <row r="31" spans="1:8">
      <c r="A31" s="7">
        <v>8</v>
      </c>
      <c r="B31" s="8" t="s">
        <v>615</v>
      </c>
    </row>
    <row r="32" spans="1:8">
      <c r="A32" s="7">
        <v>9</v>
      </c>
      <c r="B32" s="8" t="s">
        <v>616</v>
      </c>
    </row>
    <row r="33" spans="1:8">
      <c r="A33" s="9">
        <v>10</v>
      </c>
      <c r="B33" s="11" t="s">
        <v>617</v>
      </c>
    </row>
    <row r="35" spans="1:8">
      <c r="A35" s="28" t="s">
        <v>618</v>
      </c>
      <c r="B35" s="28"/>
      <c r="C35" s="28"/>
      <c r="D35" s="28"/>
      <c r="E35" s="28"/>
      <c r="F35" s="28"/>
      <c r="G35" s="28"/>
      <c r="H35" s="28"/>
    </row>
    <row r="36" spans="1:8">
      <c r="A36" s="28"/>
      <c r="B36" s="28"/>
      <c r="C36" s="28"/>
      <c r="D36" s="28"/>
      <c r="E36" s="28"/>
      <c r="F36" s="28"/>
      <c r="G36" s="28"/>
      <c r="H36" s="28"/>
    </row>
    <row r="37" spans="1:8">
      <c r="A37" s="28"/>
      <c r="B37" s="28"/>
      <c r="C37" s="28"/>
      <c r="D37" s="28"/>
      <c r="E37" s="28"/>
      <c r="F37" s="28"/>
      <c r="G37" s="28"/>
      <c r="H37" s="28"/>
    </row>
    <row r="38" spans="1:8">
      <c r="A38" s="28"/>
      <c r="B38" s="28"/>
      <c r="C38" s="28"/>
      <c r="D38" s="28"/>
      <c r="E38" s="28"/>
      <c r="F38" s="28"/>
      <c r="G38" s="28"/>
      <c r="H38" s="28"/>
    </row>
  </sheetData>
  <mergeCells count="5">
    <mergeCell ref="A1:H1"/>
    <mergeCell ref="A3:H3"/>
    <mergeCell ref="A14:H14"/>
    <mergeCell ref="A23:H23"/>
    <mergeCell ref="A35:H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00_HOME</vt:lpstr>
      <vt:lpstr>01_INBOX</vt:lpstr>
      <vt:lpstr>02_AGENDA</vt:lpstr>
      <vt:lpstr>03_RECURRENCIAS</vt:lpstr>
      <vt:lpstr>04_REUNIONES</vt:lpstr>
      <vt:lpstr>05_OKR</vt:lpstr>
      <vt:lpstr>06_METRICAS_DIARIAS</vt:lpstr>
      <vt:lpstr>07_REPORTES</vt:lpstr>
      <vt:lpstr>08_DASHBOARD</vt:lpstr>
      <vt:lpstr>09_MOBILE</vt:lpstr>
      <vt:lpstr>10_AUTOMATIZACION</vt:lpstr>
      <vt:lpstr>11_APPS_SCRIPT</vt:lpstr>
      <vt:lpstr>12_CONFIG</vt:lpstr>
      <vt:lpstr>13_DOCUMENTACION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 11816</cp:lastModifiedBy>
  <dcterms:modified xsi:type="dcterms:W3CDTF">2026-09-07T01:07:46Z</dcterms:modified>
</cp:coreProperties>
</file>